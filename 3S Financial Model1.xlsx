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nelsonolawoyin/Downloads/"/>
    </mc:Choice>
  </mc:AlternateContent>
  <xr:revisionPtr revIDLastSave="0" documentId="8_{F719FB5A-36EA-C945-838F-6EF400E63FEB}" xr6:coauthVersionLast="47" xr6:coauthVersionMax="47" xr10:uidLastSave="{00000000-0000-0000-0000-000000000000}"/>
  <bookViews>
    <workbookView xWindow="0" yWindow="740" windowWidth="20340" windowHeight="15760" tabRatio="500" xr2:uid="{00000000-000D-0000-FFFF-FFFF00000000}"/>
  </bookViews>
  <sheets>
    <sheet name="Cover" sheetId="1" r:id="rId1"/>
    <sheet name="Assumptions" sheetId="2" r:id="rId2"/>
    <sheet name="Income Statement" sheetId="3" r:id="rId3"/>
    <sheet name="Cash Flow" sheetId="4" r:id="rId4"/>
    <sheet name="Balance Sheet" sheetId="5" r:id="rId5"/>
    <sheet name="Sensitivity Analysi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6" l="1"/>
  <c r="H33" i="5"/>
  <c r="G33" i="5"/>
  <c r="F33" i="5"/>
  <c r="E33" i="5"/>
  <c r="D33" i="5"/>
  <c r="C33" i="5"/>
  <c r="H28" i="5"/>
  <c r="G28" i="5"/>
  <c r="G34" i="5" s="1"/>
  <c r="F28" i="5"/>
  <c r="F34" i="5" s="1"/>
  <c r="H27" i="5"/>
  <c r="G27" i="5"/>
  <c r="F27" i="5"/>
  <c r="E27" i="5"/>
  <c r="E28" i="5" s="1"/>
  <c r="E34" i="5" s="1"/>
  <c r="D27" i="5"/>
  <c r="C27" i="5"/>
  <c r="H22" i="5"/>
  <c r="G22" i="5"/>
  <c r="F22" i="5"/>
  <c r="E22" i="5"/>
  <c r="D22" i="5"/>
  <c r="C22" i="5"/>
  <c r="H14" i="5"/>
  <c r="G14" i="5"/>
  <c r="F14" i="5"/>
  <c r="E14" i="5"/>
  <c r="D14" i="5"/>
  <c r="C14" i="5"/>
  <c r="H25" i="4"/>
  <c r="G25" i="4"/>
  <c r="F25" i="4"/>
  <c r="E25" i="4"/>
  <c r="D25" i="4"/>
  <c r="C25" i="4"/>
  <c r="H19" i="4"/>
  <c r="G19" i="4"/>
  <c r="F19" i="4"/>
  <c r="E19" i="4"/>
  <c r="D19" i="4"/>
  <c r="C19" i="4"/>
  <c r="C18" i="3"/>
  <c r="G8" i="3"/>
  <c r="F8" i="3"/>
  <c r="E8" i="3"/>
  <c r="D8" i="3"/>
  <c r="C8" i="3"/>
  <c r="G7" i="3"/>
  <c r="F7" i="3"/>
  <c r="E7" i="3"/>
  <c r="D7" i="3"/>
  <c r="C7" i="3"/>
  <c r="E6" i="3"/>
  <c r="D6" i="3"/>
  <c r="C6" i="3"/>
  <c r="C9" i="3" s="1"/>
  <c r="E14" i="2"/>
  <c r="E13" i="2" s="1"/>
  <c r="D14" i="2"/>
  <c r="C14" i="2"/>
  <c r="E12" i="2"/>
  <c r="D12" i="2"/>
  <c r="E11" i="2"/>
  <c r="D11" i="2"/>
  <c r="H7" i="2"/>
  <c r="H8" i="3" s="1"/>
  <c r="G7" i="2"/>
  <c r="F7" i="2"/>
  <c r="F6" i="2"/>
  <c r="G6" i="2" s="1"/>
  <c r="H6" i="2" s="1"/>
  <c r="H7" i="3" s="1"/>
  <c r="F5" i="2"/>
  <c r="D13" i="2" l="1"/>
  <c r="F14" i="2"/>
  <c r="F13" i="2" s="1"/>
  <c r="F6" i="3"/>
  <c r="F9" i="3" s="1"/>
  <c r="H34" i="5"/>
  <c r="C19" i="3"/>
  <c r="C21" i="3" s="1"/>
  <c r="C13" i="3"/>
  <c r="C14" i="3" s="1"/>
  <c r="C26" i="3"/>
  <c r="C7" i="4" s="1"/>
  <c r="C20" i="3"/>
  <c r="E9" i="3"/>
  <c r="G5" i="2"/>
  <c r="C28" i="5"/>
  <c r="C34" i="5" s="1"/>
  <c r="D28" i="5"/>
  <c r="D34" i="5" s="1"/>
  <c r="D9" i="3"/>
  <c r="C15" i="3" l="1"/>
  <c r="C22" i="3"/>
  <c r="D19" i="3"/>
  <c r="D13" i="3"/>
  <c r="D26" i="3"/>
  <c r="D7" i="4" s="1"/>
  <c r="D20" i="3"/>
  <c r="D14" i="3"/>
  <c r="D18" i="3"/>
  <c r="D21" i="3" s="1"/>
  <c r="D10" i="3"/>
  <c r="G14" i="2"/>
  <c r="G13" i="2" s="1"/>
  <c r="G6" i="3"/>
  <c r="G9" i="3" s="1"/>
  <c r="H5" i="2"/>
  <c r="F26" i="3"/>
  <c r="F7" i="4" s="1"/>
  <c r="F20" i="3"/>
  <c r="F14" i="3"/>
  <c r="F18" i="3"/>
  <c r="F21" i="3" s="1"/>
  <c r="F10" i="3"/>
  <c r="D11" i="1" s="1"/>
  <c r="F19" i="3"/>
  <c r="D10" i="1"/>
  <c r="F13" i="3"/>
  <c r="E21" i="6"/>
  <c r="E22" i="6" s="1"/>
  <c r="E24" i="6" s="1"/>
  <c r="E26" i="3"/>
  <c r="E7" i="4" s="1"/>
  <c r="E20" i="3"/>
  <c r="E14" i="3"/>
  <c r="C21" i="6"/>
  <c r="C22" i="6" s="1"/>
  <c r="C24" i="6" s="1"/>
  <c r="E19" i="3"/>
  <c r="C10" i="1"/>
  <c r="E18" i="3"/>
  <c r="E13" i="3"/>
  <c r="E10" i="3"/>
  <c r="C11" i="1" s="1"/>
  <c r="H6" i="3" l="1"/>
  <c r="H9" i="3" s="1"/>
  <c r="H14" i="2"/>
  <c r="H13" i="2" s="1"/>
  <c r="D18" i="6" s="1"/>
  <c r="G18" i="3"/>
  <c r="G10" i="3"/>
  <c r="E11" i="1" s="1"/>
  <c r="G13" i="3"/>
  <c r="G14" i="3" s="1"/>
  <c r="G26" i="3"/>
  <c r="G7" i="4" s="1"/>
  <c r="G20" i="3"/>
  <c r="G19" i="3"/>
  <c r="E10" i="1"/>
  <c r="C33" i="3"/>
  <c r="C23" i="3"/>
  <c r="C30" i="3"/>
  <c r="C31" i="3" s="1"/>
  <c r="E15" i="3"/>
  <c r="C12" i="1" s="1"/>
  <c r="E22" i="3"/>
  <c r="F22" i="3"/>
  <c r="F15" i="3"/>
  <c r="D12" i="1" s="1"/>
  <c r="D15" i="3"/>
  <c r="D22" i="3"/>
  <c r="E21" i="3"/>
  <c r="G15" i="3" l="1"/>
  <c r="E12" i="1" s="1"/>
  <c r="E30" i="3"/>
  <c r="E23" i="3"/>
  <c r="E33" i="3"/>
  <c r="D33" i="3"/>
  <c r="D23" i="3"/>
  <c r="D30" i="3"/>
  <c r="D31" i="3" s="1"/>
  <c r="C34" i="3"/>
  <c r="C35" i="3"/>
  <c r="G21" i="3"/>
  <c r="G22" i="3" s="1"/>
  <c r="H19" i="3"/>
  <c r="H13" i="3"/>
  <c r="H14" i="3" s="1"/>
  <c r="D21" i="6"/>
  <c r="H18" i="3"/>
  <c r="H21" i="3" s="1"/>
  <c r="H10" i="3"/>
  <c r="H26" i="3"/>
  <c r="H7" i="4" s="1"/>
  <c r="H20" i="3"/>
  <c r="F30" i="3"/>
  <c r="F33" i="3"/>
  <c r="F23" i="3"/>
  <c r="H15" i="3" l="1"/>
  <c r="H22" i="3"/>
  <c r="G30" i="3"/>
  <c r="G33" i="3"/>
  <c r="G23" i="3"/>
  <c r="D34" i="3"/>
  <c r="D35" i="3" s="1"/>
  <c r="F34" i="3"/>
  <c r="F35" i="3" s="1"/>
  <c r="E34" i="3"/>
  <c r="E35" i="3"/>
  <c r="F31" i="3"/>
  <c r="D13" i="1"/>
  <c r="D14" i="1" s="1"/>
  <c r="E31" i="3"/>
  <c r="C13" i="1"/>
  <c r="C14" i="1" s="1"/>
  <c r="C41" i="3"/>
  <c r="C6" i="4"/>
  <c r="C13" i="4" s="1"/>
  <c r="C36" i="3"/>
  <c r="D41" i="3" l="1"/>
  <c r="D6" i="4"/>
  <c r="D13" i="4" s="1"/>
  <c r="D36" i="3"/>
  <c r="F6" i="4"/>
  <c r="F13" i="4" s="1"/>
  <c r="F36" i="3"/>
  <c r="D15" i="1"/>
  <c r="F41" i="3"/>
  <c r="D16" i="1" s="1"/>
  <c r="G35" i="3"/>
  <c r="G34" i="3"/>
  <c r="E6" i="4"/>
  <c r="E13" i="4" s="1"/>
  <c r="C15" i="1"/>
  <c r="E41" i="3"/>
  <c r="C16" i="1" s="1"/>
  <c r="E36" i="3"/>
  <c r="G31" i="3"/>
  <c r="E13" i="1"/>
  <c r="E14" i="1" s="1"/>
  <c r="H30" i="3"/>
  <c r="H33" i="3"/>
  <c r="H23" i="3"/>
  <c r="C32" i="4"/>
  <c r="C34" i="4" s="1"/>
  <c r="C6" i="5" s="1"/>
  <c r="C9" i="5" s="1"/>
  <c r="C15" i="5" s="1"/>
  <c r="C29" i="4"/>
  <c r="C30" i="4" s="1"/>
  <c r="H31" i="3" l="1"/>
  <c r="D20" i="6"/>
  <c r="D22" i="6"/>
  <c r="D24" i="6" s="1"/>
  <c r="G36" i="3"/>
  <c r="E15" i="1"/>
  <c r="G6" i="4"/>
  <c r="G13" i="4" s="1"/>
  <c r="G41" i="3"/>
  <c r="E16" i="1" s="1"/>
  <c r="F29" i="4"/>
  <c r="F32" i="4"/>
  <c r="F34" i="4" s="1"/>
  <c r="F6" i="5" s="1"/>
  <c r="F9" i="5" s="1"/>
  <c r="F15" i="5" s="1"/>
  <c r="E29" i="4"/>
  <c r="E32" i="4"/>
  <c r="E34" i="4" s="1"/>
  <c r="E6" i="5" s="1"/>
  <c r="E9" i="5" s="1"/>
  <c r="E15" i="5" s="1"/>
  <c r="D32" i="4"/>
  <c r="D34" i="4" s="1"/>
  <c r="D6" i="5" s="1"/>
  <c r="D9" i="5" s="1"/>
  <c r="D15" i="5" s="1"/>
  <c r="D29" i="4"/>
  <c r="D30" i="4" s="1"/>
  <c r="H34" i="3"/>
  <c r="H35" i="3" s="1"/>
  <c r="H41" i="3" l="1"/>
  <c r="H36" i="3"/>
  <c r="H6" i="4"/>
  <c r="H13" i="4" s="1"/>
  <c r="D17" i="1"/>
  <c r="F30" i="4"/>
  <c r="C17" i="1"/>
  <c r="E30" i="4"/>
  <c r="G29" i="4"/>
  <c r="G32" i="4"/>
  <c r="G34" i="4" s="1"/>
  <c r="G6" i="5" s="1"/>
  <c r="G9" i="5" s="1"/>
  <c r="G15" i="5" s="1"/>
  <c r="G30" i="4" l="1"/>
  <c r="E17" i="1"/>
  <c r="H29" i="4"/>
  <c r="H30" i="4" s="1"/>
  <c r="H32" i="4"/>
  <c r="H34" i="4" s="1"/>
  <c r="H6" i="5" s="1"/>
  <c r="H9" i="5" l="1"/>
  <c r="H15" i="5" s="1"/>
  <c r="F36" i="5" s="1"/>
  <c r="E25" i="6"/>
  <c r="C25" i="6"/>
  <c r="D25" i="6"/>
</calcChain>
</file>

<file path=xl/sharedStrings.xml><?xml version="1.0" encoding="utf-8"?>
<sst xmlns="http://schemas.openxmlformats.org/spreadsheetml/2006/main" count="246" uniqueCount="157">
  <si>
    <t>NEXUS TECHNOLOGY CORPORATION</t>
  </si>
  <si>
    <t>Integrated 3-Statement Financial Model | FY2022A – FY2027E</t>
  </si>
  <si>
    <t>Enterprise Software &amp; Cloud Infrastructure | NASDAQ: NXTC</t>
  </si>
  <si>
    <t>KEY FINANCIAL HIGHLIGHTS</t>
  </si>
  <si>
    <t>Metric</t>
  </si>
  <si>
    <t>FY2024A</t>
  </si>
  <si>
    <t>FY2025E</t>
  </si>
  <si>
    <t>FY2026E</t>
  </si>
  <si>
    <t>Revenue ($mm)</t>
  </si>
  <si>
    <t>Revenue Growth</t>
  </si>
  <si>
    <t>Gross Margin</t>
  </si>
  <si>
    <t>EBITDA ($mm)</t>
  </si>
  <si>
    <t>EBITDA Margin</t>
  </si>
  <si>
    <t>Net Income ($mm)</t>
  </si>
  <si>
    <t>EPS (Diluted)</t>
  </si>
  <si>
    <t>Free Cash Flow ($mm)</t>
  </si>
  <si>
    <t>MODEL INFORMATION</t>
  </si>
  <si>
    <t>Analyst:</t>
  </si>
  <si>
    <t>Senior Associate, FP&amp;A</t>
  </si>
  <si>
    <t>Date:</t>
  </si>
  <si>
    <t>March 2026</t>
  </si>
  <si>
    <t>Currency:</t>
  </si>
  <si>
    <t>USD ($mm unless noted)</t>
  </si>
  <si>
    <t>Fiscal Year End:</t>
  </si>
  <si>
    <t>December 31</t>
  </si>
  <si>
    <t>Projection Period:</t>
  </si>
  <si>
    <t>FY2025E – FY2027E</t>
  </si>
  <si>
    <t>Color Coding:</t>
  </si>
  <si>
    <t>Blue = Input | Black = Formula | Green = Cross-sheet link</t>
  </si>
  <si>
    <t>NEXUS TECHNOLOGY CORP — KEY OPERATING ASSUMPTIONS</t>
  </si>
  <si>
    <t>REVENUE ASSUMPTIONS</t>
  </si>
  <si>
    <t>Assumption</t>
  </si>
  <si>
    <t>FY2022A</t>
  </si>
  <si>
    <t>FY2023A</t>
  </si>
  <si>
    <t>FY2027E</t>
  </si>
  <si>
    <t>Subscription Revenue ($mm)</t>
  </si>
  <si>
    <t>Professional Services ($mm)</t>
  </si>
  <si>
    <t>Maintenance &amp; Support ($mm)</t>
  </si>
  <si>
    <t>GROWTH RATES</t>
  </si>
  <si>
    <t>Subscription Growth YoY</t>
  </si>
  <si>
    <t>N/A</t>
  </si>
  <si>
    <t>Prof. Services Growth YoY</t>
  </si>
  <si>
    <t>Total Revenue Growth YoY</t>
  </si>
  <si>
    <t>MARGIN ASSUMPTIONS</t>
  </si>
  <si>
    <t>Gross Margin %</t>
  </si>
  <si>
    <t>R&amp;D % of Revenue</t>
  </si>
  <si>
    <t>S&amp;M % of Revenue</t>
  </si>
  <si>
    <t>G&amp;A % of Revenue</t>
  </si>
  <si>
    <t>D&amp;A % of Revenue</t>
  </si>
  <si>
    <t>Effective Tax Rate</t>
  </si>
  <si>
    <t>BALANCE SHEET &amp; WORKING CAPITAL ASSUMPTIONS</t>
  </si>
  <si>
    <t>DSO (Days Sales Outstanding)</t>
  </si>
  <si>
    <t>DPO (Days Payable Outstanding)</t>
  </si>
  <si>
    <t>Deferred Revenue (% of Rev)</t>
  </si>
  <si>
    <t>Capex (% of Revenue)</t>
  </si>
  <si>
    <t>NEXUS TECHNOLOGY CORP — INCOME STATEMENT</t>
  </si>
  <si>
    <t>All figures in USD millions | Fiscal Year ending December 31</t>
  </si>
  <si>
    <t>REVENUE</t>
  </si>
  <si>
    <t>Subscription Revenue</t>
  </si>
  <si>
    <t>Professional Services</t>
  </si>
  <si>
    <t>Maintenance &amp; Support</t>
  </si>
  <si>
    <t>Total Revenue</t>
  </si>
  <si>
    <t xml:space="preserve">  YoY Growth %</t>
  </si>
  <si>
    <t>COST OF REVENUE &amp; GROSS PROFIT</t>
  </si>
  <si>
    <t>Cost of Revenue</t>
  </si>
  <si>
    <t>Gross Profit</t>
  </si>
  <si>
    <t xml:space="preserve">  Gross Margin %</t>
  </si>
  <si>
    <t>OPERATING EXPENSES</t>
  </si>
  <si>
    <t>Research &amp; Development</t>
  </si>
  <si>
    <t>Sales &amp; Marketing</t>
  </si>
  <si>
    <t>General &amp; Administrative</t>
  </si>
  <si>
    <t>Total Operating Expenses</t>
  </si>
  <si>
    <t>EBIT (Operating Income)</t>
  </si>
  <si>
    <t xml:space="preserve">  EBIT Margin %</t>
  </si>
  <si>
    <t>BELOW THE LINE</t>
  </si>
  <si>
    <t>Depreciation &amp; Amortization</t>
  </si>
  <si>
    <t>Interest Income / (Expense)</t>
  </si>
  <si>
    <t>Other Income / (Expense)</t>
  </si>
  <si>
    <t>EBITDA</t>
  </si>
  <si>
    <t xml:space="preserve">  EBITDA Margin %</t>
  </si>
  <si>
    <t>Pre-Tax Income (EBT)</t>
  </si>
  <si>
    <t>Income Tax Expense</t>
  </si>
  <si>
    <t>Net Income</t>
  </si>
  <si>
    <t xml:space="preserve">  Net Margin %</t>
  </si>
  <si>
    <t>PER SHARE DATA</t>
  </si>
  <si>
    <t>Diluted Shares Outstanding (mm)</t>
  </si>
  <si>
    <t>Diluted EPS</t>
  </si>
  <si>
    <t>NEXUS TECHNOLOGY CORP — CASH FLOW STATEMENT</t>
  </si>
  <si>
    <t>All figures in USD millions | Indirect Method</t>
  </si>
  <si>
    <t>OPERATING ACTIVITIES</t>
  </si>
  <si>
    <t>Stock-Based Compensation</t>
  </si>
  <si>
    <t>Changes in Working Capital:</t>
  </si>
  <si>
    <t xml:space="preserve">  (Increase) / Decrease in AR</t>
  </si>
  <si>
    <t xml:space="preserve">  Increase / (Decrease) in AP</t>
  </si>
  <si>
    <t xml:space="preserve">  Increase / (Decrease) in Deferred Rev</t>
  </si>
  <si>
    <t>Cash from Operating Activities</t>
  </si>
  <si>
    <t>INVESTING ACTIVITIES</t>
  </si>
  <si>
    <t>Capital Expenditures</t>
  </si>
  <si>
    <t>Acquisitions &amp; Investments</t>
  </si>
  <si>
    <t>Cash from Investing Activities</t>
  </si>
  <si>
    <t>FINANCING ACTIVITIES</t>
  </si>
  <si>
    <t>Debt Issuance / (Repayment)</t>
  </si>
  <si>
    <t>Share Repurchases</t>
  </si>
  <si>
    <t>Cash from Financing Activities</t>
  </si>
  <si>
    <t>FREE CASH FLOW &amp; LIQUIDITY</t>
  </si>
  <si>
    <t>Free Cash Flow (CFO - Capex)</t>
  </si>
  <si>
    <t xml:space="preserve">  FCF Margin %</t>
  </si>
  <si>
    <t>Net Change in Cash</t>
  </si>
  <si>
    <t>Beginning Cash Balance</t>
  </si>
  <si>
    <t>Ending Cash Balance</t>
  </si>
  <si>
    <t>NEXUS TECHNOLOGY CORP — BALANCE SHEET</t>
  </si>
  <si>
    <t>ASSETS</t>
  </si>
  <si>
    <t>Cash &amp; Cash Equivalents</t>
  </si>
  <si>
    <t>Accounts Receivable</t>
  </si>
  <si>
    <t>Prepaid Expenses &amp; Other</t>
  </si>
  <si>
    <t>Total Current Assets</t>
  </si>
  <si>
    <t>Property, Plant &amp; Equipment (net)</t>
  </si>
  <si>
    <t>Intangible Assets &amp; Goodwill</t>
  </si>
  <si>
    <t>Other Long-Term Assets</t>
  </si>
  <si>
    <t>Total Non-Current Assets</t>
  </si>
  <si>
    <t>TOTAL ASSETS</t>
  </si>
  <si>
    <t>LIABILITIES &amp; SHAREHOLDERS' EQUITY</t>
  </si>
  <si>
    <t>Accounts Payable</t>
  </si>
  <si>
    <t>Deferred Revenue (current)</t>
  </si>
  <si>
    <t>Accrued Liabilities</t>
  </si>
  <si>
    <t>Total Current Liabilities</t>
  </si>
  <si>
    <t>Long-Term Debt</t>
  </si>
  <si>
    <t>Deferred Revenue (non-current)</t>
  </si>
  <si>
    <t>Other Long-Term Liabilities</t>
  </si>
  <si>
    <t>Total Long-Term Liabilities</t>
  </si>
  <si>
    <t>TOTAL LIABILITIES</t>
  </si>
  <si>
    <t>Common Stock &amp; APIC</t>
  </si>
  <si>
    <t>Retained Earnings</t>
  </si>
  <si>
    <t>Treasury Stock</t>
  </si>
  <si>
    <t>Total Shareholders' Equity</t>
  </si>
  <si>
    <t>TOTAL LIABILITIES &amp; EQUITY</t>
  </si>
  <si>
    <t>Balance Check (Assets = Liabilities + Equity)</t>
  </si>
  <si>
    <t>SENSITIVITY ANALYSIS — FY2027E SCENARIOS</t>
  </si>
  <si>
    <t>Two-variable sensitivity: Revenue Growth Rate vs. EBITDA Margin | FY2027E EBITDA ($mm)</t>
  </si>
  <si>
    <t>EBITDA SENSITIVITY: REVENUE GROWTH vs. EBITDA MARGIN (FY2027E, $mm)</t>
  </si>
  <si>
    <t>Rev Growth \ EBITDA Margin</t>
  </si>
  <si>
    <t>Color Legend:</t>
  </si>
  <si>
    <t>&gt; $160mm (Bull Case)</t>
  </si>
  <si>
    <t>$130-160mm (Base+)</t>
  </si>
  <si>
    <t>$100-130mm (Base)</t>
  </si>
  <si>
    <t>$80-100mm (Bear+)</t>
  </si>
  <si>
    <t>&lt; $80mm (Bear)</t>
  </si>
  <si>
    <t>SCENARIO ANALYSIS — KEY METRICS BRIDGE</t>
  </si>
  <si>
    <t>Bear Case</t>
  </si>
  <si>
    <t>Base Case</t>
  </si>
  <si>
    <t>Bull Case</t>
  </si>
  <si>
    <t>Revenue Growth (CAGR)</t>
  </si>
  <si>
    <t>FY2027E Revenue ($mm)</t>
  </si>
  <si>
    <t>FY2027E EBITDA ($mm)</t>
  </si>
  <si>
    <t>EV/EBITDA Multiple</t>
  </si>
  <si>
    <t>Implied Enterprise Value ($mm)</t>
  </si>
  <si>
    <t>Implied 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</si>
</sst>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"/>
    <numFmt numFmtId="165" formatCode="0.0%"/>
    <numFmt numFmtId="166" formatCode="\$#,##0.00"/>
    <numFmt numFmtId="167" formatCode="#,##0.0"/>
    <numFmt numFmtId="168" formatCode="\$#,##0.0;&quot;($&quot;#,##0.0\);\-"/>
    <numFmt numFmtId="169" formatCode="\$#,##0.00;&quot;($&quot;#,##0.00\);\-"/>
    <numFmt numFmtId="170" formatCode="\$#,##0.0"/>
    <numFmt numFmtId="171" formatCode="0.0\x"/>
  </numFmts>
  <fonts count="21" x14ac:knownFonts="1">
    <font>
      <sz val="11"/>
      <color theme="1"/>
      <name val="Calibri"/>
      <family val="2"/>
      <charset val="1"/>
    </font>
    <font>
      <b/>
      <sz val="20"/>
      <color rgb="FF1F3864"/>
      <name val="Arial"/>
      <family val="2"/>
    </font>
    <font>
      <sz val="12"/>
      <color rgb="FF595959"/>
      <name val="Arial"/>
      <family val="2"/>
    </font>
    <font>
      <i/>
      <sz val="10"/>
      <color rgb="FF595959"/>
      <name val="Arial"/>
      <family val="2"/>
    </font>
    <font>
      <b/>
      <sz val="10"/>
      <color rgb="FF1F3864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3"/>
      <color rgb="FF1F3864"/>
      <name val="Arial"/>
      <family val="2"/>
    </font>
    <font>
      <sz val="9"/>
      <color rgb="FF0000FF"/>
      <name val="Arial"/>
      <family val="2"/>
    </font>
    <font>
      <sz val="9"/>
      <color rgb="FF595959"/>
      <name val="Arial"/>
      <family val="2"/>
    </font>
    <font>
      <sz val="9"/>
      <name val="Arial"/>
      <family val="2"/>
    </font>
    <font>
      <i/>
      <sz val="9"/>
      <color rgb="FF595959"/>
      <name val="Arial"/>
      <family val="2"/>
    </font>
    <font>
      <sz val="9"/>
      <color rgb="FF008000"/>
      <name val="Arial"/>
      <family val="2"/>
    </font>
    <font>
      <b/>
      <sz val="9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sz val="11"/>
      <color rgb="FF0000FF"/>
      <name val="Cambria"/>
      <family val="1"/>
    </font>
    <font>
      <sz val="9"/>
      <color rgb="FFFF0000"/>
      <name val="Arial"/>
      <family val="2"/>
    </font>
    <font>
      <sz val="9"/>
      <color rgb="FF00B05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3B1F64"/>
        <bgColor rgb="FF333399"/>
      </patternFill>
    </fill>
    <fill>
      <patternFill patternType="solid">
        <fgColor rgb="FF7B4FB6"/>
        <bgColor rgb="FF595959"/>
      </patternFill>
    </fill>
    <fill>
      <patternFill patternType="solid">
        <fgColor rgb="FFF2F2F2"/>
        <bgColor rgb="FFEDE4F8"/>
      </patternFill>
    </fill>
    <fill>
      <patternFill patternType="solid">
        <fgColor rgb="FFFFFFFF"/>
        <bgColor rgb="FFF2F2F2"/>
      </patternFill>
    </fill>
    <fill>
      <patternFill patternType="solid">
        <fgColor rgb="FFC9B8E8"/>
        <bgColor rgb="FFCC99FF"/>
      </patternFill>
    </fill>
    <fill>
      <patternFill patternType="solid">
        <fgColor rgb="FFEDE4F8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6" fillId="0" borderId="0" xfId="0" applyFont="1"/>
    <xf numFmtId="0" fontId="12" fillId="0" borderId="0" xfId="0" applyFont="1"/>
    <xf numFmtId="0" fontId="5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164" fontId="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165" fontId="7" fillId="5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5" fillId="3" borderId="0" xfId="0" applyFont="1" applyFill="1" applyAlignment="1">
      <alignment horizontal="left" vertical="center"/>
    </xf>
    <xf numFmtId="0" fontId="7" fillId="4" borderId="0" xfId="0" applyFont="1" applyFill="1"/>
    <xf numFmtId="167" fontId="9" fillId="4" borderId="0" xfId="0" applyNumberFormat="1" applyFont="1" applyFill="1" applyAlignment="1">
      <alignment horizontal="center" vertical="center"/>
    </xf>
    <xf numFmtId="167" fontId="7" fillId="4" borderId="0" xfId="0" applyNumberFormat="1" applyFont="1" applyFill="1" applyAlignment="1">
      <alignment horizontal="center" vertical="center"/>
    </xf>
    <xf numFmtId="0" fontId="7" fillId="5" borderId="0" xfId="0" applyFont="1" applyFill="1"/>
    <xf numFmtId="167" fontId="9" fillId="5" borderId="0" xfId="0" applyNumberFormat="1" applyFont="1" applyFill="1" applyAlignment="1">
      <alignment horizontal="center" vertical="center"/>
    </xf>
    <xf numFmtId="167" fontId="7" fillId="5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65" fontId="9" fillId="4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165" fontId="9" fillId="5" borderId="0" xfId="0" applyNumberFormat="1" applyFont="1" applyFill="1" applyAlignment="1">
      <alignment horizontal="center" vertical="center"/>
    </xf>
    <xf numFmtId="167" fontId="11" fillId="0" borderId="0" xfId="0" applyNumberFormat="1" applyFont="1" applyAlignment="1">
      <alignment horizontal="center"/>
    </xf>
    <xf numFmtId="1" fontId="9" fillId="4" borderId="0" xfId="0" applyNumberFormat="1" applyFont="1" applyFill="1" applyAlignment="1">
      <alignment horizontal="center" vertical="center"/>
    </xf>
    <xf numFmtId="1" fontId="9" fillId="5" borderId="0" xfId="0" applyNumberFormat="1" applyFont="1" applyFill="1" applyAlignment="1">
      <alignment horizontal="center" vertical="center"/>
    </xf>
    <xf numFmtId="168" fontId="13" fillId="4" borderId="0" xfId="0" applyNumberFormat="1" applyFont="1" applyFill="1" applyAlignment="1">
      <alignment horizontal="center" vertical="center"/>
    </xf>
    <xf numFmtId="168" fontId="13" fillId="5" borderId="0" xfId="0" applyNumberFormat="1" applyFont="1" applyFill="1" applyAlignment="1">
      <alignment horizontal="center" vertical="center"/>
    </xf>
    <xf numFmtId="0" fontId="6" fillId="6" borderId="0" xfId="0" applyFont="1" applyFill="1"/>
    <xf numFmtId="168" fontId="14" fillId="6" borderId="0" xfId="0" applyNumberFormat="1" applyFont="1" applyFill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8" fontId="7" fillId="4" borderId="0" xfId="0" applyNumberFormat="1" applyFont="1" applyFill="1" applyAlignment="1">
      <alignment horizontal="center" vertical="center"/>
    </xf>
    <xf numFmtId="168" fontId="7" fillId="5" borderId="0" xfId="0" applyNumberFormat="1" applyFont="1" applyFill="1" applyAlignment="1">
      <alignment horizontal="center" vertical="center"/>
    </xf>
    <xf numFmtId="0" fontId="6" fillId="7" borderId="0" xfId="0" applyFont="1" applyFill="1"/>
    <xf numFmtId="168" fontId="14" fillId="7" borderId="0" xfId="0" applyNumberFormat="1" applyFont="1" applyFill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68" fontId="9" fillId="4" borderId="0" xfId="0" applyNumberFormat="1" applyFont="1" applyFill="1" applyAlignment="1">
      <alignment horizontal="center" vertical="center"/>
    </xf>
    <xf numFmtId="0" fontId="15" fillId="2" borderId="0" xfId="0" applyFont="1" applyFill="1"/>
    <xf numFmtId="168" fontId="15" fillId="2" borderId="0" xfId="0" applyNumberFormat="1" applyFont="1" applyFill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69" fontId="6" fillId="7" borderId="0" xfId="0" applyNumberFormat="1" applyFont="1" applyFill="1" applyAlignment="1">
      <alignment horizontal="center" vertical="center"/>
    </xf>
    <xf numFmtId="0" fontId="6" fillId="4" borderId="0" xfId="0" applyFont="1" applyFill="1"/>
    <xf numFmtId="168" fontId="0" fillId="5" borderId="0" xfId="0" applyNumberFormat="1" applyFill="1" applyAlignment="1">
      <alignment horizontal="center" vertical="center"/>
    </xf>
    <xf numFmtId="0" fontId="14" fillId="6" borderId="0" xfId="0" applyFont="1" applyFill="1"/>
    <xf numFmtId="168" fontId="6" fillId="6" borderId="0" xfId="0" applyNumberFormat="1" applyFont="1" applyFill="1" applyAlignment="1">
      <alignment horizontal="center" vertical="center"/>
    </xf>
    <xf numFmtId="0" fontId="5" fillId="2" borderId="0" xfId="0" applyFont="1" applyFill="1"/>
    <xf numFmtId="168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170" fontId="7" fillId="8" borderId="0" xfId="0" applyNumberFormat="1" applyFont="1" applyFill="1" applyAlignment="1">
      <alignment horizontal="center" vertical="center"/>
    </xf>
    <xf numFmtId="170" fontId="7" fillId="9" borderId="0" xfId="0" applyNumberFormat="1" applyFont="1" applyFill="1" applyAlignment="1">
      <alignment horizontal="center" vertical="center"/>
    </xf>
    <xf numFmtId="170" fontId="5" fillId="10" borderId="0" xfId="0" applyNumberFormat="1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165" fontId="18" fillId="4" borderId="0" xfId="0" applyNumberFormat="1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18" fillId="5" borderId="0" xfId="0" applyNumberFormat="1" applyFont="1" applyFill="1" applyAlignment="1">
      <alignment horizontal="center" vertical="center"/>
    </xf>
    <xf numFmtId="165" fontId="6" fillId="5" borderId="0" xfId="0" applyNumberFormat="1" applyFont="1" applyFill="1" applyAlignment="1">
      <alignment horizontal="center" vertical="center"/>
    </xf>
    <xf numFmtId="164" fontId="19" fillId="5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20" fillId="5" borderId="0" xfId="0" applyNumberFormat="1" applyFont="1" applyFill="1" applyAlignment="1">
      <alignment horizontal="center" vertical="center"/>
    </xf>
    <xf numFmtId="164" fontId="19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4" fontId="20" fillId="4" borderId="0" xfId="0" applyNumberFormat="1" applyFont="1" applyFill="1" applyAlignment="1">
      <alignment horizontal="center" vertical="center"/>
    </xf>
    <xf numFmtId="171" fontId="18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8E8"/>
      <rgbColor rgb="FF595959"/>
      <rgbColor rgb="FF9999FF"/>
      <rgbColor rgb="FF993366"/>
      <rgbColor rgb="FFF2F2F2"/>
      <rgbColor rgb="FFCCFFFF"/>
      <rgbColor rgb="FF660066"/>
      <rgbColor rgb="FFFF8080"/>
      <rgbColor rgb="FF0066CC"/>
      <rgbColor rgb="FFEDE4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7B4FB6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B1F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9"/>
  <sheetViews>
    <sheetView showGridLines="0" tabSelected="1" zoomScaleNormal="100" workbookViewId="0">
      <selection activeCell="D12" sqref="D12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5" width="20" customWidth="1"/>
    <col min="6" max="6" width="3" customWidth="1"/>
  </cols>
  <sheetData>
    <row r="1" spans="2:5" ht="18" customHeight="1" x14ac:dyDescent="0.2"/>
    <row r="2" spans="2:5" ht="18" customHeight="1" x14ac:dyDescent="0.2">
      <c r="B2" s="9" t="s">
        <v>0</v>
      </c>
      <c r="C2" s="9"/>
      <c r="D2" s="9"/>
      <c r="E2" s="9"/>
    </row>
    <row r="3" spans="2:5" ht="18" customHeight="1" x14ac:dyDescent="0.2">
      <c r="B3" s="9"/>
      <c r="C3" s="9"/>
      <c r="D3" s="9"/>
      <c r="E3" s="9"/>
    </row>
    <row r="4" spans="2:5" ht="18" customHeight="1" x14ac:dyDescent="0.2">
      <c r="B4" s="8" t="s">
        <v>1</v>
      </c>
      <c r="C4" s="8"/>
      <c r="D4" s="8"/>
      <c r="E4" s="8"/>
    </row>
    <row r="5" spans="2:5" ht="18" customHeight="1" x14ac:dyDescent="0.2">
      <c r="B5" s="7" t="s">
        <v>2</v>
      </c>
      <c r="C5" s="7"/>
      <c r="D5" s="7"/>
      <c r="E5" s="7"/>
    </row>
    <row r="6" spans="2:5" ht="18" customHeight="1" x14ac:dyDescent="0.2">
      <c r="B6" s="10"/>
      <c r="C6" s="10"/>
      <c r="D6" s="10"/>
      <c r="E6" s="10"/>
    </row>
    <row r="7" spans="2:5" ht="18" customHeight="1" x14ac:dyDescent="0.2"/>
    <row r="8" spans="2:5" ht="18" customHeight="1" x14ac:dyDescent="0.2">
      <c r="B8" s="6" t="s">
        <v>3</v>
      </c>
      <c r="C8" s="6"/>
      <c r="D8" s="6"/>
      <c r="E8" s="6"/>
    </row>
    <row r="9" spans="2:5" ht="18" customHeight="1" x14ac:dyDescent="0.2">
      <c r="B9" s="11" t="s">
        <v>4</v>
      </c>
      <c r="C9" s="11" t="s">
        <v>5</v>
      </c>
      <c r="D9" s="11" t="s">
        <v>6</v>
      </c>
      <c r="E9" s="11" t="s">
        <v>7</v>
      </c>
    </row>
    <row r="10" spans="2:5" ht="18" customHeight="1" x14ac:dyDescent="0.2">
      <c r="B10" s="12" t="s">
        <v>8</v>
      </c>
      <c r="C10" s="13">
        <f>'Income Statement'!E9</f>
        <v>312.00000000000006</v>
      </c>
      <c r="D10" s="13">
        <f>'Income Statement'!F9</f>
        <v>377.04</v>
      </c>
      <c r="E10" s="13">
        <f>'Income Statement'!G9</f>
        <v>455.40573600000005</v>
      </c>
    </row>
    <row r="11" spans="2:5" ht="18" customHeight="1" x14ac:dyDescent="0.2">
      <c r="B11" s="14" t="s">
        <v>9</v>
      </c>
      <c r="C11" s="15">
        <f>'Income Statement'!E10</f>
        <v>0.15512773047019635</v>
      </c>
      <c r="D11" s="15">
        <f>'Income Statement'!F10</f>
        <v>0.20846153846153831</v>
      </c>
      <c r="E11" s="15">
        <f>'Income Statement'!G10</f>
        <v>0.20784462126034378</v>
      </c>
    </row>
    <row r="12" spans="2:5" ht="18" customHeight="1" x14ac:dyDescent="0.2">
      <c r="B12" s="12" t="s">
        <v>10</v>
      </c>
      <c r="C12" s="16">
        <f>'Income Statement'!E15</f>
        <v>0.68400000000000005</v>
      </c>
      <c r="D12" s="16">
        <f>'Income Statement'!F15</f>
        <v>0.70099999999999985</v>
      </c>
      <c r="E12" s="16">
        <f>'Income Statement'!G15</f>
        <v>0.71799999999999997</v>
      </c>
    </row>
    <row r="13" spans="2:5" ht="18" customHeight="1" x14ac:dyDescent="0.2">
      <c r="B13" s="14" t="s">
        <v>11</v>
      </c>
      <c r="C13" s="17">
        <f>'Income Statement'!E30</f>
        <v>77.376000000000062</v>
      </c>
      <c r="D13" s="17">
        <f>'Income Statement'!F30</f>
        <v>107.07935999999998</v>
      </c>
      <c r="E13" s="17">
        <f>'Income Statement'!G30</f>
        <v>146.18524125600001</v>
      </c>
    </row>
    <row r="14" spans="2:5" ht="18" customHeight="1" x14ac:dyDescent="0.2">
      <c r="B14" s="12" t="s">
        <v>12</v>
      </c>
      <c r="C14" s="16">
        <f>C13/C10</f>
        <v>0.24800000000000016</v>
      </c>
      <c r="D14" s="16">
        <f>D13/D10</f>
        <v>0.28399999999999992</v>
      </c>
      <c r="E14" s="16">
        <f>E13/E10</f>
        <v>0.32100000000000001</v>
      </c>
    </row>
    <row r="15" spans="2:5" ht="18" customHeight="1" x14ac:dyDescent="0.2">
      <c r="B15" s="14" t="s">
        <v>13</v>
      </c>
      <c r="C15" s="17">
        <f>'Income Statement'!E35</f>
        <v>51.551760000000044</v>
      </c>
      <c r="D15" s="17">
        <f>'Income Statement'!F35</f>
        <v>74.01507359999998</v>
      </c>
      <c r="E15" s="17">
        <f>'Income Statement'!G35</f>
        <v>103.44599395728</v>
      </c>
    </row>
    <row r="16" spans="2:5" ht="18" customHeight="1" x14ac:dyDescent="0.2">
      <c r="B16" s="12" t="s">
        <v>14</v>
      </c>
      <c r="C16" s="18">
        <f>'Income Statement'!E41</f>
        <v>3.4367840000000029</v>
      </c>
      <c r="D16" s="18">
        <f>'Income Statement'!F41</f>
        <v>4.8694127368421043</v>
      </c>
      <c r="E16" s="18">
        <f>'Income Statement'!G41</f>
        <v>6.6739350940180646</v>
      </c>
    </row>
    <row r="17" spans="2:5" ht="18" customHeight="1" x14ac:dyDescent="0.2">
      <c r="B17" s="14" t="s">
        <v>15</v>
      </c>
      <c r="C17" s="17">
        <f>'Cash Flow'!E29</f>
        <v>69.735760000000056</v>
      </c>
      <c r="D17" s="17">
        <f>'Cash Flow'!F29</f>
        <v>94.203313599999973</v>
      </c>
      <c r="E17" s="17">
        <f>'Cash Flow'!G29</f>
        <v>126.20816603727999</v>
      </c>
    </row>
    <row r="18" spans="2:5" ht="18" customHeight="1" x14ac:dyDescent="0.2"/>
    <row r="19" spans="2:5" ht="18" customHeight="1" x14ac:dyDescent="0.2"/>
    <row r="20" spans="2:5" ht="18" customHeight="1" x14ac:dyDescent="0.2">
      <c r="B20" s="6" t="s">
        <v>16</v>
      </c>
      <c r="C20" s="6"/>
      <c r="D20" s="6"/>
      <c r="E20" s="6"/>
    </row>
    <row r="21" spans="2:5" ht="18" customHeight="1" x14ac:dyDescent="0.2">
      <c r="B21" s="19" t="s">
        <v>17</v>
      </c>
      <c r="C21" s="5" t="s">
        <v>18</v>
      </c>
      <c r="D21" s="5"/>
      <c r="E21" s="5"/>
    </row>
    <row r="22" spans="2:5" ht="18" customHeight="1" x14ac:dyDescent="0.2">
      <c r="B22" s="19" t="s">
        <v>19</v>
      </c>
      <c r="C22" s="5" t="s">
        <v>20</v>
      </c>
      <c r="D22" s="5"/>
      <c r="E22" s="5"/>
    </row>
    <row r="23" spans="2:5" ht="18" customHeight="1" x14ac:dyDescent="0.2">
      <c r="B23" s="19" t="s">
        <v>21</v>
      </c>
      <c r="C23" s="5" t="s">
        <v>22</v>
      </c>
      <c r="D23" s="5"/>
      <c r="E23" s="5"/>
    </row>
    <row r="24" spans="2:5" ht="18" customHeight="1" x14ac:dyDescent="0.2">
      <c r="B24" s="19" t="s">
        <v>23</v>
      </c>
      <c r="C24" s="5" t="s">
        <v>24</v>
      </c>
      <c r="D24" s="5"/>
      <c r="E24" s="5"/>
    </row>
    <row r="25" spans="2:5" ht="18" customHeight="1" x14ac:dyDescent="0.2">
      <c r="B25" s="19" t="s">
        <v>25</v>
      </c>
      <c r="C25" s="5" t="s">
        <v>26</v>
      </c>
      <c r="D25" s="5"/>
      <c r="E25" s="5"/>
    </row>
    <row r="26" spans="2:5" ht="18" customHeight="1" x14ac:dyDescent="0.2">
      <c r="B26" s="19" t="s">
        <v>27</v>
      </c>
      <c r="C26" s="5" t="s">
        <v>28</v>
      </c>
      <c r="D26" s="5"/>
      <c r="E26" s="5"/>
    </row>
    <row r="27" spans="2:5" ht="18" customHeight="1" x14ac:dyDescent="0.2"/>
    <row r="28" spans="2:5" ht="18" customHeight="1" x14ac:dyDescent="0.2"/>
    <row r="29" spans="2:5" ht="18" customHeight="1" x14ac:dyDescent="0.2"/>
    <row r="30" spans="2:5" ht="18" customHeight="1" x14ac:dyDescent="0.2"/>
    <row r="31" spans="2:5" ht="18" customHeight="1" x14ac:dyDescent="0.2"/>
    <row r="32" spans="2:5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</sheetData>
  <mergeCells count="11">
    <mergeCell ref="C26:E26"/>
    <mergeCell ref="C21:E21"/>
    <mergeCell ref="C22:E22"/>
    <mergeCell ref="C23:E23"/>
    <mergeCell ref="C24:E24"/>
    <mergeCell ref="C25:E25"/>
    <mergeCell ref="B2:E3"/>
    <mergeCell ref="B4:E4"/>
    <mergeCell ref="B5:E5"/>
    <mergeCell ref="B8:E8"/>
    <mergeCell ref="B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5" customWidth="1"/>
    <col min="3" max="8" width="12" customWidth="1"/>
  </cols>
  <sheetData>
    <row r="1" spans="2:8" ht="21.75" customHeight="1" x14ac:dyDescent="0.2">
      <c r="B1" s="4" t="s">
        <v>29</v>
      </c>
      <c r="C1" s="4"/>
      <c r="D1" s="4"/>
      <c r="E1" s="4"/>
      <c r="F1" s="4"/>
      <c r="G1" s="4"/>
      <c r="H1" s="4"/>
    </row>
    <row r="3" spans="2:8" ht="15.75" customHeight="1" x14ac:dyDescent="0.2">
      <c r="B3" s="3" t="s">
        <v>30</v>
      </c>
      <c r="C3" s="3"/>
      <c r="D3" s="3"/>
      <c r="E3" s="3"/>
      <c r="F3" s="3"/>
      <c r="G3" s="3"/>
      <c r="H3" s="3"/>
    </row>
    <row r="4" spans="2:8" ht="15" customHeight="1" x14ac:dyDescent="0.2">
      <c r="B4" s="21" t="s">
        <v>31</v>
      </c>
      <c r="C4" s="11" t="s">
        <v>32</v>
      </c>
      <c r="D4" s="11" t="s">
        <v>33</v>
      </c>
      <c r="E4" s="11" t="s">
        <v>5</v>
      </c>
      <c r="F4" s="11" t="s">
        <v>6</v>
      </c>
      <c r="G4" s="11" t="s">
        <v>7</v>
      </c>
      <c r="H4" s="11" t="s">
        <v>34</v>
      </c>
    </row>
    <row r="5" spans="2:8" ht="15" customHeight="1" x14ac:dyDescent="0.2">
      <c r="B5" s="22" t="s">
        <v>35</v>
      </c>
      <c r="C5" s="23">
        <v>150.19999999999999</v>
      </c>
      <c r="D5" s="23">
        <v>187.4</v>
      </c>
      <c r="E5" s="23">
        <v>233.8</v>
      </c>
      <c r="F5" s="24">
        <f>E5*1.24</f>
        <v>289.91200000000003</v>
      </c>
      <c r="G5" s="24">
        <f>F5*1.238</f>
        <v>358.91105600000003</v>
      </c>
      <c r="H5" s="24">
        <f>G5*1.235</f>
        <v>443.25515416000007</v>
      </c>
    </row>
    <row r="6" spans="2:8" ht="15" customHeight="1" x14ac:dyDescent="0.2">
      <c r="B6" s="25" t="s">
        <v>36</v>
      </c>
      <c r="C6" s="26">
        <v>28.4</v>
      </c>
      <c r="D6" s="26">
        <v>33.1</v>
      </c>
      <c r="E6" s="26">
        <v>38.6</v>
      </c>
      <c r="F6" s="27">
        <f>E6*1.18</f>
        <v>45.548000000000002</v>
      </c>
      <c r="G6" s="27">
        <f>F6*1.16</f>
        <v>52.835679999999996</v>
      </c>
      <c r="H6" s="27">
        <f>G6*1.14</f>
        <v>60.232675199999989</v>
      </c>
    </row>
    <row r="7" spans="2:8" ht="15" customHeight="1" x14ac:dyDescent="0.2">
      <c r="B7" s="22" t="s">
        <v>37</v>
      </c>
      <c r="C7" s="23">
        <v>42.1</v>
      </c>
      <c r="D7" s="23">
        <v>49.6</v>
      </c>
      <c r="E7" s="23">
        <v>39.6</v>
      </c>
      <c r="F7" s="24">
        <f>E7*1.05</f>
        <v>41.580000000000005</v>
      </c>
      <c r="G7" s="24">
        <f>F7*1.05</f>
        <v>43.659000000000006</v>
      </c>
      <c r="H7" s="24">
        <f>G7*1.05</f>
        <v>45.841950000000011</v>
      </c>
    </row>
    <row r="9" spans="2:8" ht="15.75" customHeight="1" x14ac:dyDescent="0.2">
      <c r="B9" s="3" t="s">
        <v>38</v>
      </c>
      <c r="C9" s="3"/>
      <c r="D9" s="3"/>
      <c r="E9" s="3"/>
      <c r="F9" s="3"/>
      <c r="G9" s="3"/>
      <c r="H9" s="3"/>
    </row>
    <row r="10" spans="2:8" ht="15" customHeight="1" x14ac:dyDescent="0.2">
      <c r="B10" s="21" t="s">
        <v>31</v>
      </c>
      <c r="C10" s="11" t="s">
        <v>32</v>
      </c>
      <c r="D10" s="11" t="s">
        <v>33</v>
      </c>
      <c r="E10" s="11" t="s">
        <v>5</v>
      </c>
      <c r="F10" s="11" t="s">
        <v>6</v>
      </c>
      <c r="G10" s="11" t="s">
        <v>7</v>
      </c>
      <c r="H10" s="11" t="s">
        <v>34</v>
      </c>
    </row>
    <row r="11" spans="2:8" ht="15" customHeight="1" x14ac:dyDescent="0.2">
      <c r="B11" s="22" t="s">
        <v>39</v>
      </c>
      <c r="C11" s="28" t="s">
        <v>40</v>
      </c>
      <c r="D11" s="16">
        <f>(D5-C5)/C5</f>
        <v>0.24766977363515327</v>
      </c>
      <c r="E11" s="16">
        <f>(E5-D5)/D5</f>
        <v>0.24759871931696908</v>
      </c>
      <c r="F11" s="29">
        <v>0.24</v>
      </c>
      <c r="G11" s="29">
        <v>0.23799999999999999</v>
      </c>
      <c r="H11" s="29">
        <v>0.23499999999999999</v>
      </c>
    </row>
    <row r="12" spans="2:8" ht="15" customHeight="1" x14ac:dyDescent="0.2">
      <c r="B12" s="25" t="s">
        <v>41</v>
      </c>
      <c r="C12" s="30" t="s">
        <v>40</v>
      </c>
      <c r="D12" s="15">
        <f>(D6-C6)/C6</f>
        <v>0.16549295774647899</v>
      </c>
      <c r="E12" s="15">
        <f>(E6-D6)/D6</f>
        <v>0.16616314199395771</v>
      </c>
      <c r="F12" s="31">
        <v>0.18</v>
      </c>
      <c r="G12" s="31">
        <v>0.16</v>
      </c>
      <c r="H12" s="31">
        <v>0.14000000000000001</v>
      </c>
    </row>
    <row r="13" spans="2:8" ht="15" customHeight="1" x14ac:dyDescent="0.2">
      <c r="B13" s="22" t="s">
        <v>42</v>
      </c>
      <c r="C13" s="28" t="s">
        <v>40</v>
      </c>
      <c r="D13" s="16">
        <f>(D14-C14)/C14</f>
        <v>0.22383325781604005</v>
      </c>
      <c r="E13" s="16">
        <f>(E14-D14)/D14</f>
        <v>0.15512773047019635</v>
      </c>
      <c r="F13" s="16">
        <f>(F14-E14)/E14</f>
        <v>0.20846153846153831</v>
      </c>
      <c r="G13" s="16">
        <f>(G14-F14)/F14</f>
        <v>0.20784462126034378</v>
      </c>
      <c r="H13" s="16">
        <f>(H14-G14)/G14</f>
        <v>0.20624255676920158</v>
      </c>
    </row>
    <row r="14" spans="2:8" ht="15" customHeight="1" x14ac:dyDescent="0.2">
      <c r="C14" s="32">
        <f t="shared" ref="C14:H14" si="0">C5+C6+C7</f>
        <v>220.7</v>
      </c>
      <c r="D14" s="32">
        <f t="shared" si="0"/>
        <v>270.10000000000002</v>
      </c>
      <c r="E14" s="32">
        <f t="shared" si="0"/>
        <v>312.00000000000006</v>
      </c>
      <c r="F14" s="32">
        <f t="shared" si="0"/>
        <v>377.04</v>
      </c>
      <c r="G14" s="32">
        <f t="shared" si="0"/>
        <v>455.40573600000005</v>
      </c>
      <c r="H14" s="32">
        <f t="shared" si="0"/>
        <v>549.32977936000009</v>
      </c>
    </row>
    <row r="15" spans="2:8" ht="15.75" customHeight="1" x14ac:dyDescent="0.2">
      <c r="B15" s="3" t="s">
        <v>43</v>
      </c>
      <c r="C15" s="3"/>
      <c r="D15" s="3"/>
      <c r="E15" s="3"/>
      <c r="F15" s="3"/>
      <c r="G15" s="3"/>
      <c r="H15" s="3"/>
    </row>
    <row r="16" spans="2:8" ht="15" customHeight="1" x14ac:dyDescent="0.2">
      <c r="B16" s="21" t="s">
        <v>31</v>
      </c>
      <c r="C16" s="11" t="s">
        <v>32</v>
      </c>
      <c r="D16" s="11" t="s">
        <v>33</v>
      </c>
      <c r="E16" s="11" t="s">
        <v>5</v>
      </c>
      <c r="F16" s="11" t="s">
        <v>6</v>
      </c>
      <c r="G16" s="11" t="s">
        <v>7</v>
      </c>
      <c r="H16" s="11" t="s">
        <v>34</v>
      </c>
    </row>
    <row r="17" spans="2:8" ht="15" customHeight="1" x14ac:dyDescent="0.2">
      <c r="B17" s="22" t="s">
        <v>44</v>
      </c>
      <c r="C17" s="29">
        <v>0.64300000000000002</v>
      </c>
      <c r="D17" s="29">
        <v>0.66400000000000003</v>
      </c>
      <c r="E17" s="29">
        <v>0.68400000000000005</v>
      </c>
      <c r="F17" s="29">
        <v>0.70099999999999996</v>
      </c>
      <c r="G17" s="29">
        <v>0.71799999999999997</v>
      </c>
      <c r="H17" s="29">
        <v>0.73199999999999998</v>
      </c>
    </row>
    <row r="18" spans="2:8" ht="15" customHeight="1" x14ac:dyDescent="0.2">
      <c r="B18" s="25" t="s">
        <v>45</v>
      </c>
      <c r="C18" s="31">
        <v>0.182</v>
      </c>
      <c r="D18" s="31">
        <v>0.17399999999999999</v>
      </c>
      <c r="E18" s="31">
        <v>0.16800000000000001</v>
      </c>
      <c r="F18" s="31">
        <v>0.16200000000000001</v>
      </c>
      <c r="G18" s="31">
        <v>0.155</v>
      </c>
      <c r="H18" s="31">
        <v>0.14799999999999999</v>
      </c>
    </row>
    <row r="19" spans="2:8" ht="15" customHeight="1" x14ac:dyDescent="0.2">
      <c r="B19" s="22" t="s">
        <v>46</v>
      </c>
      <c r="C19" s="29">
        <v>0.24099999999999999</v>
      </c>
      <c r="D19" s="29">
        <v>0.22800000000000001</v>
      </c>
      <c r="E19" s="29">
        <v>0.218</v>
      </c>
      <c r="F19" s="29">
        <v>0.20799999999999999</v>
      </c>
      <c r="G19" s="29">
        <v>0.19800000000000001</v>
      </c>
      <c r="H19" s="29">
        <v>0.188</v>
      </c>
    </row>
    <row r="20" spans="2:8" ht="15" customHeight="1" x14ac:dyDescent="0.2">
      <c r="B20" s="25" t="s">
        <v>47</v>
      </c>
      <c r="C20" s="31">
        <v>9.1999999999999998E-2</v>
      </c>
      <c r="D20" s="31">
        <v>8.7999999999999995E-2</v>
      </c>
      <c r="E20" s="31">
        <v>8.2000000000000003E-2</v>
      </c>
      <c r="F20" s="31">
        <v>7.8E-2</v>
      </c>
      <c r="G20" s="31">
        <v>7.3999999999999996E-2</v>
      </c>
      <c r="H20" s="31">
        <v>7.0999999999999994E-2</v>
      </c>
    </row>
    <row r="21" spans="2:8" ht="15" customHeight="1" x14ac:dyDescent="0.2">
      <c r="B21" s="22" t="s">
        <v>48</v>
      </c>
      <c r="C21" s="29">
        <v>3.7999999999999999E-2</v>
      </c>
      <c r="D21" s="29">
        <v>3.5000000000000003E-2</v>
      </c>
      <c r="E21" s="29">
        <v>3.2000000000000001E-2</v>
      </c>
      <c r="F21" s="29">
        <v>3.1E-2</v>
      </c>
      <c r="G21" s="29">
        <v>0.03</v>
      </c>
      <c r="H21" s="29">
        <v>2.9000000000000001E-2</v>
      </c>
    </row>
    <row r="22" spans="2:8" ht="15" customHeight="1" x14ac:dyDescent="0.2">
      <c r="B22" s="25" t="s">
        <v>49</v>
      </c>
      <c r="C22" s="31">
        <v>0.215</v>
      </c>
      <c r="D22" s="31">
        <v>0.218</v>
      </c>
      <c r="E22" s="31">
        <v>0.22</v>
      </c>
      <c r="F22" s="31">
        <v>0.22</v>
      </c>
      <c r="G22" s="31">
        <v>0.22</v>
      </c>
      <c r="H22" s="31">
        <v>0.22</v>
      </c>
    </row>
    <row r="24" spans="2:8" ht="15.75" customHeight="1" x14ac:dyDescent="0.2">
      <c r="B24" s="3" t="s">
        <v>50</v>
      </c>
      <c r="C24" s="3"/>
      <c r="D24" s="3"/>
      <c r="E24" s="3"/>
      <c r="F24" s="3"/>
      <c r="G24" s="3"/>
      <c r="H24" s="3"/>
    </row>
    <row r="25" spans="2:8" ht="15" customHeight="1" x14ac:dyDescent="0.2">
      <c r="B25" s="21" t="s">
        <v>31</v>
      </c>
      <c r="C25" s="11" t="s">
        <v>32</v>
      </c>
      <c r="D25" s="11" t="s">
        <v>33</v>
      </c>
      <c r="E25" s="11" t="s">
        <v>5</v>
      </c>
      <c r="F25" s="11" t="s">
        <v>6</v>
      </c>
      <c r="G25" s="11" t="s">
        <v>7</v>
      </c>
      <c r="H25" s="11" t="s">
        <v>34</v>
      </c>
    </row>
    <row r="26" spans="2:8" ht="15" customHeight="1" x14ac:dyDescent="0.2">
      <c r="B26" s="22" t="s">
        <v>51</v>
      </c>
      <c r="C26" s="33">
        <v>42</v>
      </c>
      <c r="D26" s="33">
        <v>41</v>
      </c>
      <c r="E26" s="33">
        <v>40</v>
      </c>
      <c r="F26" s="33">
        <v>39</v>
      </c>
      <c r="G26" s="33">
        <v>38</v>
      </c>
      <c r="H26" s="33">
        <v>37</v>
      </c>
    </row>
    <row r="27" spans="2:8" ht="15" customHeight="1" x14ac:dyDescent="0.2">
      <c r="B27" s="25" t="s">
        <v>52</v>
      </c>
      <c r="C27" s="34">
        <v>32</v>
      </c>
      <c r="D27" s="34">
        <v>33</v>
      </c>
      <c r="E27" s="34">
        <v>34</v>
      </c>
      <c r="F27" s="34">
        <v>35</v>
      </c>
      <c r="G27" s="34">
        <v>36</v>
      </c>
      <c r="H27" s="34">
        <v>37</v>
      </c>
    </row>
    <row r="28" spans="2:8" ht="15" customHeight="1" x14ac:dyDescent="0.2">
      <c r="B28" s="22" t="s">
        <v>53</v>
      </c>
      <c r="C28" s="29">
        <v>0.182</v>
      </c>
      <c r="D28" s="29">
        <v>0.185</v>
      </c>
      <c r="E28" s="29">
        <v>0.188</v>
      </c>
      <c r="F28" s="29">
        <v>0.19</v>
      </c>
      <c r="G28" s="29">
        <v>0.192</v>
      </c>
      <c r="H28" s="29">
        <v>0.193</v>
      </c>
    </row>
    <row r="29" spans="2:8" ht="15" customHeight="1" x14ac:dyDescent="0.2">
      <c r="B29" s="25" t="s">
        <v>54</v>
      </c>
      <c r="C29" s="31">
        <v>4.4999999999999998E-2</v>
      </c>
      <c r="D29" s="31">
        <v>4.2000000000000003E-2</v>
      </c>
      <c r="E29" s="31">
        <v>3.7999999999999999E-2</v>
      </c>
      <c r="F29" s="31">
        <v>3.5999999999999997E-2</v>
      </c>
      <c r="G29" s="31">
        <v>3.4000000000000002E-2</v>
      </c>
      <c r="H29" s="31">
        <v>3.2000000000000001E-2</v>
      </c>
    </row>
  </sheetData>
  <mergeCells count="5">
    <mergeCell ref="B1:H1"/>
    <mergeCell ref="B3:H3"/>
    <mergeCell ref="B9:H9"/>
    <mergeCell ref="B15:H15"/>
    <mergeCell ref="B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1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8" customWidth="1"/>
    <col min="3" max="8" width="12" customWidth="1"/>
  </cols>
  <sheetData>
    <row r="1" spans="2:8" ht="21.75" customHeight="1" x14ac:dyDescent="0.2">
      <c r="B1" s="4" t="s">
        <v>55</v>
      </c>
      <c r="C1" s="4"/>
      <c r="D1" s="4"/>
      <c r="E1" s="4"/>
      <c r="F1" s="4"/>
      <c r="G1" s="4"/>
      <c r="H1" s="4"/>
    </row>
    <row r="2" spans="2:8" ht="15" customHeight="1" x14ac:dyDescent="0.2">
      <c r="B2" s="2" t="s">
        <v>56</v>
      </c>
      <c r="C2" s="2"/>
      <c r="D2" s="2"/>
      <c r="E2" s="2"/>
      <c r="F2" s="2"/>
      <c r="G2" s="2"/>
      <c r="H2" s="2"/>
    </row>
    <row r="4" spans="2:8" ht="15.75" customHeight="1" x14ac:dyDescent="0.2">
      <c r="B4" s="3" t="s">
        <v>57</v>
      </c>
      <c r="C4" s="3"/>
      <c r="D4" s="3"/>
      <c r="E4" s="3"/>
      <c r="F4" s="3"/>
      <c r="G4" s="3"/>
      <c r="H4" s="3"/>
    </row>
    <row r="5" spans="2:8" ht="15" customHeight="1" x14ac:dyDescent="0.2">
      <c r="B5" s="21" t="s">
        <v>31</v>
      </c>
      <c r="C5" s="11" t="s">
        <v>32</v>
      </c>
      <c r="D5" s="11" t="s">
        <v>33</v>
      </c>
      <c r="E5" s="11" t="s">
        <v>5</v>
      </c>
      <c r="F5" s="11" t="s">
        <v>6</v>
      </c>
      <c r="G5" s="11" t="s">
        <v>7</v>
      </c>
      <c r="H5" s="11" t="s">
        <v>34</v>
      </c>
    </row>
    <row r="6" spans="2:8" ht="15" customHeight="1" x14ac:dyDescent="0.2">
      <c r="B6" s="22" t="s">
        <v>58</v>
      </c>
      <c r="C6" s="35">
        <f>Assumptions!C5</f>
        <v>150.19999999999999</v>
      </c>
      <c r="D6" s="35">
        <f>Assumptions!D5</f>
        <v>187.4</v>
      </c>
      <c r="E6" s="35">
        <f>Assumptions!E5</f>
        <v>233.8</v>
      </c>
      <c r="F6" s="35">
        <f>Assumptions!F5</f>
        <v>289.91200000000003</v>
      </c>
      <c r="G6" s="35">
        <f>Assumptions!G5</f>
        <v>358.91105600000003</v>
      </c>
      <c r="H6" s="35">
        <f>Assumptions!H5</f>
        <v>443.25515416000007</v>
      </c>
    </row>
    <row r="7" spans="2:8" ht="15" customHeight="1" x14ac:dyDescent="0.2">
      <c r="B7" s="25" t="s">
        <v>59</v>
      </c>
      <c r="C7" s="36">
        <f>Assumptions!C6</f>
        <v>28.4</v>
      </c>
      <c r="D7" s="36">
        <f>Assumptions!D6</f>
        <v>33.1</v>
      </c>
      <c r="E7" s="36">
        <f>Assumptions!E6</f>
        <v>38.6</v>
      </c>
      <c r="F7" s="36">
        <f>Assumptions!F6</f>
        <v>45.548000000000002</v>
      </c>
      <c r="G7" s="36">
        <f>Assumptions!G6</f>
        <v>52.835679999999996</v>
      </c>
      <c r="H7" s="36">
        <f>Assumptions!H6</f>
        <v>60.232675199999989</v>
      </c>
    </row>
    <row r="8" spans="2:8" ht="15" customHeight="1" x14ac:dyDescent="0.2">
      <c r="B8" s="22" t="s">
        <v>60</v>
      </c>
      <c r="C8" s="35">
        <f>Assumptions!C7</f>
        <v>42.1</v>
      </c>
      <c r="D8" s="35">
        <f>Assumptions!D7</f>
        <v>49.6</v>
      </c>
      <c r="E8" s="35">
        <f>Assumptions!E7</f>
        <v>39.6</v>
      </c>
      <c r="F8" s="35">
        <f>Assumptions!F7</f>
        <v>41.580000000000005</v>
      </c>
      <c r="G8" s="35">
        <f>Assumptions!G7</f>
        <v>43.659000000000006</v>
      </c>
      <c r="H8" s="35">
        <f>Assumptions!H7</f>
        <v>45.841950000000011</v>
      </c>
    </row>
    <row r="9" spans="2:8" ht="15" customHeight="1" x14ac:dyDescent="0.2">
      <c r="B9" s="37" t="s">
        <v>61</v>
      </c>
      <c r="C9" s="38">
        <f t="shared" ref="C9:H9" si="0">SUM(C6:C8)</f>
        <v>220.7</v>
      </c>
      <c r="D9" s="38">
        <f t="shared" si="0"/>
        <v>270.10000000000002</v>
      </c>
      <c r="E9" s="38">
        <f t="shared" si="0"/>
        <v>312.00000000000006</v>
      </c>
      <c r="F9" s="38">
        <f t="shared" si="0"/>
        <v>377.04</v>
      </c>
      <c r="G9" s="38">
        <f t="shared" si="0"/>
        <v>455.40573600000005</v>
      </c>
      <c r="H9" s="38">
        <f t="shared" si="0"/>
        <v>549.32977936000009</v>
      </c>
    </row>
    <row r="10" spans="2:8" ht="15" customHeight="1" x14ac:dyDescent="0.2">
      <c r="B10" s="39" t="s">
        <v>62</v>
      </c>
      <c r="C10" s="40" t="s">
        <v>40</v>
      </c>
      <c r="D10" s="41">
        <f>(D9-C9)/C9</f>
        <v>0.22383325781604005</v>
      </c>
      <c r="E10" s="41">
        <f>(E9-D9)/D9</f>
        <v>0.15512773047019635</v>
      </c>
      <c r="F10" s="41">
        <f>(F9-E9)/E9</f>
        <v>0.20846153846153831</v>
      </c>
      <c r="G10" s="41">
        <f>(G9-F9)/F9</f>
        <v>0.20784462126034378</v>
      </c>
      <c r="H10" s="41">
        <f>(H9-G9)/G9</f>
        <v>0.20624255676920158</v>
      </c>
    </row>
    <row r="12" spans="2:8" ht="15.75" customHeight="1" x14ac:dyDescent="0.2">
      <c r="B12" s="3" t="s">
        <v>63</v>
      </c>
      <c r="C12" s="3"/>
      <c r="D12" s="3"/>
      <c r="E12" s="3"/>
      <c r="F12" s="3"/>
      <c r="G12" s="3"/>
      <c r="H12" s="3"/>
    </row>
    <row r="13" spans="2:8" ht="15" customHeight="1" x14ac:dyDescent="0.2">
      <c r="B13" s="22" t="s">
        <v>64</v>
      </c>
      <c r="C13" s="42">
        <f>C9*(1-Assumptions!C17)</f>
        <v>78.789899999999989</v>
      </c>
      <c r="D13" s="42">
        <f>D9*(1-Assumptions!D17)</f>
        <v>90.753599999999992</v>
      </c>
      <c r="E13" s="42">
        <f>E9*(1-Assumptions!E17)</f>
        <v>98.591999999999999</v>
      </c>
      <c r="F13" s="42">
        <f>F9*(1-Assumptions!F17)</f>
        <v>112.73496000000003</v>
      </c>
      <c r="G13" s="42">
        <f>G9*(1-Assumptions!G17)</f>
        <v>128.42441755200002</v>
      </c>
      <c r="H13" s="42">
        <f>H9*(1-Assumptions!H17)</f>
        <v>147.22038086848002</v>
      </c>
    </row>
    <row r="14" spans="2:8" ht="15" customHeight="1" x14ac:dyDescent="0.2">
      <c r="B14" s="37" t="s">
        <v>65</v>
      </c>
      <c r="C14" s="38">
        <f t="shared" ref="C14:H14" si="1">C9-C13</f>
        <v>141.9101</v>
      </c>
      <c r="D14" s="38">
        <f t="shared" si="1"/>
        <v>179.34640000000002</v>
      </c>
      <c r="E14" s="38">
        <f t="shared" si="1"/>
        <v>213.40800000000007</v>
      </c>
      <c r="F14" s="38">
        <f t="shared" si="1"/>
        <v>264.30503999999996</v>
      </c>
      <c r="G14" s="38">
        <f t="shared" si="1"/>
        <v>326.98131844800002</v>
      </c>
      <c r="H14" s="38">
        <f t="shared" si="1"/>
        <v>402.1093984915201</v>
      </c>
    </row>
    <row r="15" spans="2:8" ht="15" customHeight="1" x14ac:dyDescent="0.2">
      <c r="B15" s="39" t="s">
        <v>66</v>
      </c>
      <c r="C15" s="41">
        <f t="shared" ref="C15:H15" si="2">C14/C9</f>
        <v>0.64300000000000002</v>
      </c>
      <c r="D15" s="41">
        <f t="shared" si="2"/>
        <v>0.66400000000000003</v>
      </c>
      <c r="E15" s="41">
        <f t="shared" si="2"/>
        <v>0.68400000000000005</v>
      </c>
      <c r="F15" s="41">
        <f t="shared" si="2"/>
        <v>0.70099999999999985</v>
      </c>
      <c r="G15" s="41">
        <f t="shared" si="2"/>
        <v>0.71799999999999997</v>
      </c>
      <c r="H15" s="41">
        <f t="shared" si="2"/>
        <v>0.7320000000000001</v>
      </c>
    </row>
    <row r="17" spans="2:8" ht="15.75" customHeight="1" x14ac:dyDescent="0.2">
      <c r="B17" s="3" t="s">
        <v>67</v>
      </c>
      <c r="C17" s="3"/>
      <c r="D17" s="3"/>
      <c r="E17" s="3"/>
      <c r="F17" s="3"/>
      <c r="G17" s="3"/>
      <c r="H17" s="3"/>
    </row>
    <row r="18" spans="2:8" ht="15" customHeight="1" x14ac:dyDescent="0.2">
      <c r="B18" s="22" t="s">
        <v>68</v>
      </c>
      <c r="C18" s="42">
        <f>C9*Assumptions!C18</f>
        <v>40.167399999999994</v>
      </c>
      <c r="D18" s="42">
        <f>D9*Assumptions!D18</f>
        <v>46.997399999999999</v>
      </c>
      <c r="E18" s="42">
        <f>E9*Assumptions!E18</f>
        <v>52.416000000000011</v>
      </c>
      <c r="F18" s="42">
        <f>F9*Assumptions!F18</f>
        <v>61.080480000000009</v>
      </c>
      <c r="G18" s="42">
        <f>G9*Assumptions!G18</f>
        <v>70.587889080000011</v>
      </c>
      <c r="H18" s="42">
        <f>H9*Assumptions!H18</f>
        <v>81.300807345280006</v>
      </c>
    </row>
    <row r="19" spans="2:8" ht="15" customHeight="1" x14ac:dyDescent="0.2">
      <c r="B19" s="25" t="s">
        <v>69</v>
      </c>
      <c r="C19" s="43">
        <f>C9*Assumptions!C19</f>
        <v>53.188699999999997</v>
      </c>
      <c r="D19" s="43">
        <f>D9*Assumptions!D19</f>
        <v>61.582800000000006</v>
      </c>
      <c r="E19" s="43">
        <f>E9*Assumptions!E19</f>
        <v>68.016000000000005</v>
      </c>
      <c r="F19" s="43">
        <f>F9*Assumptions!F19</f>
        <v>78.424319999999994</v>
      </c>
      <c r="G19" s="43">
        <f>G9*Assumptions!G19</f>
        <v>90.170335728000012</v>
      </c>
      <c r="H19" s="43">
        <f>H9*Assumptions!H19</f>
        <v>103.27399851968002</v>
      </c>
    </row>
    <row r="20" spans="2:8" ht="15" customHeight="1" x14ac:dyDescent="0.2">
      <c r="B20" s="22" t="s">
        <v>70</v>
      </c>
      <c r="C20" s="42">
        <f>C9*Assumptions!C20</f>
        <v>20.304399999999998</v>
      </c>
      <c r="D20" s="42">
        <f>D9*Assumptions!D20</f>
        <v>23.768800000000002</v>
      </c>
      <c r="E20" s="42">
        <f>E9*Assumptions!E20</f>
        <v>25.584000000000007</v>
      </c>
      <c r="F20" s="42">
        <f>F9*Assumptions!F20</f>
        <v>29.409120000000001</v>
      </c>
      <c r="G20" s="42">
        <f>G9*Assumptions!G20</f>
        <v>33.700024464000002</v>
      </c>
      <c r="H20" s="42">
        <f>H9*Assumptions!H20</f>
        <v>39.002414334560001</v>
      </c>
    </row>
    <row r="21" spans="2:8" ht="15" customHeight="1" x14ac:dyDescent="0.2">
      <c r="B21" s="44" t="s">
        <v>71</v>
      </c>
      <c r="C21" s="45">
        <f t="shared" ref="C21:H21" si="3">SUM(C18:C20)</f>
        <v>113.6605</v>
      </c>
      <c r="D21" s="45">
        <f t="shared" si="3"/>
        <v>132.34900000000002</v>
      </c>
      <c r="E21" s="45">
        <f t="shared" si="3"/>
        <v>146.01600000000002</v>
      </c>
      <c r="F21" s="45">
        <f t="shared" si="3"/>
        <v>168.91391999999999</v>
      </c>
      <c r="G21" s="45">
        <f t="shared" si="3"/>
        <v>194.45824927200002</v>
      </c>
      <c r="H21" s="45">
        <f t="shared" si="3"/>
        <v>223.57722019952001</v>
      </c>
    </row>
    <row r="22" spans="2:8" ht="15" customHeight="1" x14ac:dyDescent="0.2">
      <c r="B22" s="37" t="s">
        <v>72</v>
      </c>
      <c r="C22" s="38">
        <f t="shared" ref="C22:H22" si="4">C14-C21</f>
        <v>28.249600000000001</v>
      </c>
      <c r="D22" s="38">
        <f t="shared" si="4"/>
        <v>46.997399999999999</v>
      </c>
      <c r="E22" s="38">
        <f t="shared" si="4"/>
        <v>67.392000000000053</v>
      </c>
      <c r="F22" s="38">
        <f t="shared" si="4"/>
        <v>95.391119999999972</v>
      </c>
      <c r="G22" s="38">
        <f t="shared" si="4"/>
        <v>132.52306917600001</v>
      </c>
      <c r="H22" s="38">
        <f t="shared" si="4"/>
        <v>178.53217829200008</v>
      </c>
    </row>
    <row r="23" spans="2:8" ht="15" customHeight="1" x14ac:dyDescent="0.2">
      <c r="B23" s="39" t="s">
        <v>73</v>
      </c>
      <c r="C23" s="41">
        <f t="shared" ref="C23:H23" si="5">C22/C9</f>
        <v>0.128</v>
      </c>
      <c r="D23" s="41">
        <f t="shared" si="5"/>
        <v>0.17399999999999999</v>
      </c>
      <c r="E23" s="41">
        <f t="shared" si="5"/>
        <v>0.21600000000000014</v>
      </c>
      <c r="F23" s="41">
        <f t="shared" si="5"/>
        <v>0.25299999999999989</v>
      </c>
      <c r="G23" s="41">
        <f t="shared" si="5"/>
        <v>0.29099999999999998</v>
      </c>
      <c r="H23" s="41">
        <f t="shared" si="5"/>
        <v>0.32500000000000012</v>
      </c>
    </row>
    <row r="25" spans="2:8" ht="15.75" customHeight="1" x14ac:dyDescent="0.2">
      <c r="B25" s="3" t="s">
        <v>74</v>
      </c>
      <c r="C25" s="3"/>
      <c r="D25" s="3"/>
      <c r="E25" s="3"/>
      <c r="F25" s="3"/>
      <c r="G25" s="3"/>
      <c r="H25" s="3"/>
    </row>
    <row r="26" spans="2:8" ht="15" customHeight="1" x14ac:dyDescent="0.2">
      <c r="B26" s="22" t="s">
        <v>75</v>
      </c>
      <c r="C26" s="42">
        <f>C9*Assumptions!C21</f>
        <v>8.3865999999999996</v>
      </c>
      <c r="D26" s="42">
        <f>D9*Assumptions!D21</f>
        <v>9.4535000000000018</v>
      </c>
      <c r="E26" s="42">
        <f>E9*Assumptions!E21</f>
        <v>9.9840000000000018</v>
      </c>
      <c r="F26" s="42">
        <f>F9*Assumptions!F21</f>
        <v>11.68824</v>
      </c>
      <c r="G26" s="42">
        <f>G9*Assumptions!G21</f>
        <v>13.662172080000001</v>
      </c>
      <c r="H26" s="42">
        <f>H9*Assumptions!H21</f>
        <v>15.930563601440003</v>
      </c>
    </row>
    <row r="27" spans="2:8" ht="15" customHeight="1" x14ac:dyDescent="0.2">
      <c r="B27" s="25" t="s">
        <v>76</v>
      </c>
      <c r="C27" s="46">
        <v>-3.2</v>
      </c>
      <c r="D27" s="46">
        <v>-2.8</v>
      </c>
      <c r="E27" s="46">
        <v>-2.1</v>
      </c>
      <c r="F27" s="46">
        <v>-1.4</v>
      </c>
      <c r="G27" s="46">
        <v>-0.9</v>
      </c>
      <c r="H27" s="46">
        <v>-0.5</v>
      </c>
    </row>
    <row r="28" spans="2:8" ht="15" customHeight="1" x14ac:dyDescent="0.2">
      <c r="B28" s="22" t="s">
        <v>77</v>
      </c>
      <c r="C28" s="47">
        <v>0.4</v>
      </c>
      <c r="D28" s="47">
        <v>0.6</v>
      </c>
      <c r="E28" s="47">
        <v>0.8</v>
      </c>
      <c r="F28" s="47">
        <v>0.9</v>
      </c>
      <c r="G28" s="47">
        <v>1</v>
      </c>
      <c r="H28" s="47">
        <v>1.1000000000000001</v>
      </c>
    </row>
    <row r="30" spans="2:8" ht="15" customHeight="1" x14ac:dyDescent="0.2">
      <c r="B30" s="37" t="s">
        <v>78</v>
      </c>
      <c r="C30" s="38">
        <f t="shared" ref="C30:H30" si="6">C22+C26</f>
        <v>36.636200000000002</v>
      </c>
      <c r="D30" s="38">
        <f t="shared" si="6"/>
        <v>56.450900000000004</v>
      </c>
      <c r="E30" s="38">
        <f t="shared" si="6"/>
        <v>77.376000000000062</v>
      </c>
      <c r="F30" s="38">
        <f t="shared" si="6"/>
        <v>107.07935999999998</v>
      </c>
      <c r="G30" s="38">
        <f t="shared" si="6"/>
        <v>146.18524125600001</v>
      </c>
      <c r="H30" s="38">
        <f t="shared" si="6"/>
        <v>194.4627418934401</v>
      </c>
    </row>
    <row r="31" spans="2:8" ht="15" customHeight="1" x14ac:dyDescent="0.2">
      <c r="B31" s="39" t="s">
        <v>79</v>
      </c>
      <c r="C31" s="41">
        <f t="shared" ref="C31:H31" si="7">C30/C9</f>
        <v>0.16600000000000001</v>
      </c>
      <c r="D31" s="41">
        <f t="shared" si="7"/>
        <v>0.20899999999999999</v>
      </c>
      <c r="E31" s="41">
        <f t="shared" si="7"/>
        <v>0.24800000000000016</v>
      </c>
      <c r="F31" s="41">
        <f t="shared" si="7"/>
        <v>0.28399999999999992</v>
      </c>
      <c r="G31" s="41">
        <f t="shared" si="7"/>
        <v>0.32100000000000001</v>
      </c>
      <c r="H31" s="41">
        <f t="shared" si="7"/>
        <v>0.35400000000000009</v>
      </c>
    </row>
    <row r="33" spans="2:8" ht="15" customHeight="1" x14ac:dyDescent="0.2">
      <c r="B33" s="44" t="s">
        <v>80</v>
      </c>
      <c r="C33" s="45">
        <f t="shared" ref="C33:H33" si="8">C22+C27+C28</f>
        <v>25.4496</v>
      </c>
      <c r="D33" s="45">
        <f t="shared" si="8"/>
        <v>44.797400000000003</v>
      </c>
      <c r="E33" s="45">
        <f t="shared" si="8"/>
        <v>66.092000000000056</v>
      </c>
      <c r="F33" s="45">
        <f t="shared" si="8"/>
        <v>94.891119999999972</v>
      </c>
      <c r="G33" s="45">
        <f t="shared" si="8"/>
        <v>132.623069176</v>
      </c>
      <c r="H33" s="45">
        <f t="shared" si="8"/>
        <v>179.13217829200008</v>
      </c>
    </row>
    <row r="34" spans="2:8" ht="15" customHeight="1" x14ac:dyDescent="0.2">
      <c r="B34" s="22" t="s">
        <v>81</v>
      </c>
      <c r="C34" s="42">
        <f>C33*Assumptions!C22</f>
        <v>5.4716639999999996</v>
      </c>
      <c r="D34" s="42">
        <f>D33*Assumptions!D22</f>
        <v>9.7658332000000012</v>
      </c>
      <c r="E34" s="42">
        <f>E33*Assumptions!E22</f>
        <v>14.540240000000013</v>
      </c>
      <c r="F34" s="42">
        <f>F33*Assumptions!F22</f>
        <v>20.876046399999993</v>
      </c>
      <c r="G34" s="42">
        <f>G33*Assumptions!G22</f>
        <v>29.177075218719999</v>
      </c>
      <c r="H34" s="42">
        <f>H33*Assumptions!H22</f>
        <v>39.409079224240017</v>
      </c>
    </row>
    <row r="35" spans="2:8" ht="15" customHeight="1" x14ac:dyDescent="0.2">
      <c r="B35" s="48" t="s">
        <v>82</v>
      </c>
      <c r="C35" s="49">
        <f t="shared" ref="C35:H35" si="9">C33-C34</f>
        <v>19.977936</v>
      </c>
      <c r="D35" s="49">
        <f t="shared" si="9"/>
        <v>35.0315668</v>
      </c>
      <c r="E35" s="49">
        <f t="shared" si="9"/>
        <v>51.551760000000044</v>
      </c>
      <c r="F35" s="49">
        <f t="shared" si="9"/>
        <v>74.01507359999998</v>
      </c>
      <c r="G35" s="49">
        <f t="shared" si="9"/>
        <v>103.44599395728</v>
      </c>
      <c r="H35" s="49">
        <f t="shared" si="9"/>
        <v>139.72309906776007</v>
      </c>
    </row>
    <row r="36" spans="2:8" ht="15" customHeight="1" x14ac:dyDescent="0.2">
      <c r="B36" s="39" t="s">
        <v>83</v>
      </c>
      <c r="C36" s="41">
        <f t="shared" ref="C36:H36" si="10">C35/C9</f>
        <v>9.0520779338468513E-2</v>
      </c>
      <c r="D36" s="41">
        <f t="shared" si="10"/>
        <v>0.12969850721954831</v>
      </c>
      <c r="E36" s="41">
        <f t="shared" si="10"/>
        <v>0.1652300000000001</v>
      </c>
      <c r="F36" s="41">
        <f t="shared" si="10"/>
        <v>0.19630562698917881</v>
      </c>
      <c r="G36" s="41">
        <f t="shared" si="10"/>
        <v>0.22715127584005657</v>
      </c>
      <c r="H36" s="41">
        <f t="shared" si="10"/>
        <v>0.25435194725934085</v>
      </c>
    </row>
    <row r="38" spans="2:8" ht="15.75" customHeight="1" x14ac:dyDescent="0.2">
      <c r="B38" s="3" t="s">
        <v>84</v>
      </c>
      <c r="C38" s="3"/>
      <c r="D38" s="3"/>
      <c r="E38" s="3"/>
      <c r="F38" s="3"/>
      <c r="G38" s="3"/>
      <c r="H38" s="3"/>
    </row>
    <row r="39" spans="2:8" ht="15" customHeight="1" x14ac:dyDescent="0.2">
      <c r="B39" s="21" t="s">
        <v>31</v>
      </c>
      <c r="C39" s="11" t="s">
        <v>32</v>
      </c>
      <c r="D39" s="11" t="s">
        <v>33</v>
      </c>
      <c r="E39" s="11" t="s">
        <v>5</v>
      </c>
      <c r="F39" s="11" t="s">
        <v>6</v>
      </c>
      <c r="G39" s="11" t="s">
        <v>7</v>
      </c>
      <c r="H39" s="11" t="s">
        <v>34</v>
      </c>
    </row>
    <row r="40" spans="2:8" ht="15" customHeight="1" x14ac:dyDescent="0.2">
      <c r="B40" s="20" t="s">
        <v>85</v>
      </c>
      <c r="C40" s="50">
        <v>14.8</v>
      </c>
      <c r="D40" s="50">
        <v>14.9</v>
      </c>
      <c r="E40" s="50">
        <v>15</v>
      </c>
      <c r="F40" s="50">
        <v>15.2</v>
      </c>
      <c r="G40" s="50">
        <v>15.5</v>
      </c>
      <c r="H40" s="50">
        <v>15.7</v>
      </c>
    </row>
    <row r="41" spans="2:8" ht="15" customHeight="1" x14ac:dyDescent="0.2">
      <c r="B41" s="44" t="s">
        <v>86</v>
      </c>
      <c r="C41" s="51">
        <f t="shared" ref="C41:H41" si="11">C35/C40</f>
        <v>1.3498605405405404</v>
      </c>
      <c r="D41" s="51">
        <f t="shared" si="11"/>
        <v>2.351111865771812</v>
      </c>
      <c r="E41" s="51">
        <f t="shared" si="11"/>
        <v>3.4367840000000029</v>
      </c>
      <c r="F41" s="51">
        <f t="shared" si="11"/>
        <v>4.8694127368421043</v>
      </c>
      <c r="G41" s="51">
        <f t="shared" si="11"/>
        <v>6.6739350940180646</v>
      </c>
      <c r="H41" s="51">
        <f t="shared" si="11"/>
        <v>8.8995604501758017</v>
      </c>
    </row>
  </sheetData>
  <mergeCells count="7">
    <mergeCell ref="B25:H25"/>
    <mergeCell ref="B38:H38"/>
    <mergeCell ref="B1:H1"/>
    <mergeCell ref="B2:H2"/>
    <mergeCell ref="B4:H4"/>
    <mergeCell ref="B12:H12"/>
    <mergeCell ref="B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34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8" customWidth="1"/>
    <col min="3" max="8" width="12" customWidth="1"/>
  </cols>
  <sheetData>
    <row r="1" spans="2:8" ht="21.75" customHeight="1" x14ac:dyDescent="0.2">
      <c r="B1" s="4" t="s">
        <v>87</v>
      </c>
      <c r="C1" s="4"/>
      <c r="D1" s="4"/>
      <c r="E1" s="4"/>
      <c r="F1" s="4"/>
      <c r="G1" s="4"/>
      <c r="H1" s="4"/>
    </row>
    <row r="2" spans="2:8" ht="15" customHeight="1" x14ac:dyDescent="0.2">
      <c r="B2" s="2" t="s">
        <v>88</v>
      </c>
      <c r="C2" s="2"/>
      <c r="D2" s="2"/>
      <c r="E2" s="2"/>
      <c r="F2" s="2"/>
      <c r="G2" s="2"/>
      <c r="H2" s="2"/>
    </row>
    <row r="4" spans="2:8" ht="15.75" customHeight="1" x14ac:dyDescent="0.2">
      <c r="B4" s="3" t="s">
        <v>89</v>
      </c>
      <c r="C4" s="3"/>
      <c r="D4" s="3"/>
      <c r="E4" s="3"/>
      <c r="F4" s="3"/>
      <c r="G4" s="3"/>
      <c r="H4" s="3"/>
    </row>
    <row r="5" spans="2:8" ht="15" customHeight="1" x14ac:dyDescent="0.2">
      <c r="B5" s="21" t="s">
        <v>31</v>
      </c>
      <c r="C5" s="11" t="s">
        <v>32</v>
      </c>
      <c r="D5" s="11" t="s">
        <v>33</v>
      </c>
      <c r="E5" s="11" t="s">
        <v>5</v>
      </c>
      <c r="F5" s="11" t="s">
        <v>6</v>
      </c>
      <c r="G5" s="11" t="s">
        <v>7</v>
      </c>
      <c r="H5" s="11" t="s">
        <v>34</v>
      </c>
    </row>
    <row r="6" spans="2:8" ht="15" customHeight="1" x14ac:dyDescent="0.2">
      <c r="B6" s="52" t="s">
        <v>82</v>
      </c>
      <c r="C6" s="35">
        <f>'Income Statement'!C35</f>
        <v>19.977936</v>
      </c>
      <c r="D6" s="35">
        <f>'Income Statement'!D35</f>
        <v>35.0315668</v>
      </c>
      <c r="E6" s="35">
        <f>'Income Statement'!E35</f>
        <v>51.551760000000044</v>
      </c>
      <c r="F6" s="35">
        <f>'Income Statement'!F35</f>
        <v>74.01507359999998</v>
      </c>
      <c r="G6" s="35">
        <f>'Income Statement'!G35</f>
        <v>103.44599395728</v>
      </c>
      <c r="H6" s="35">
        <f>'Income Statement'!H35</f>
        <v>139.72309906776007</v>
      </c>
    </row>
    <row r="7" spans="2:8" ht="15" customHeight="1" x14ac:dyDescent="0.2">
      <c r="B7" s="25" t="s">
        <v>75</v>
      </c>
      <c r="C7" s="36">
        <f>'Income Statement'!C26</f>
        <v>8.3865999999999996</v>
      </c>
      <c r="D7" s="36">
        <f>'Income Statement'!D26</f>
        <v>9.4535000000000018</v>
      </c>
      <c r="E7" s="36">
        <f>'Income Statement'!E26</f>
        <v>9.9840000000000018</v>
      </c>
      <c r="F7" s="36">
        <f>'Income Statement'!F26</f>
        <v>11.68824</v>
      </c>
      <c r="G7" s="36">
        <f>'Income Statement'!G26</f>
        <v>13.662172080000001</v>
      </c>
      <c r="H7" s="36">
        <f>'Income Statement'!H26</f>
        <v>15.930563601440003</v>
      </c>
    </row>
    <row r="8" spans="2:8" ht="15" customHeight="1" x14ac:dyDescent="0.2">
      <c r="B8" s="22" t="s">
        <v>90</v>
      </c>
      <c r="C8" s="47">
        <v>12.4</v>
      </c>
      <c r="D8" s="47">
        <v>14.2</v>
      </c>
      <c r="E8" s="47">
        <v>16.8</v>
      </c>
      <c r="F8" s="47">
        <v>18.899999999999999</v>
      </c>
      <c r="G8" s="47">
        <v>21.4</v>
      </c>
      <c r="H8" s="47">
        <v>24.2</v>
      </c>
    </row>
    <row r="9" spans="2:8" ht="15" customHeight="1" x14ac:dyDescent="0.2">
      <c r="B9" s="25" t="s">
        <v>91</v>
      </c>
      <c r="C9" s="53"/>
      <c r="D9" s="53"/>
      <c r="E9" s="53"/>
      <c r="F9" s="53"/>
      <c r="G9" s="53"/>
      <c r="H9" s="53"/>
    </row>
    <row r="10" spans="2:8" ht="15" customHeight="1" x14ac:dyDescent="0.2">
      <c r="B10" s="22" t="s">
        <v>92</v>
      </c>
      <c r="C10" s="42">
        <v>-8.1999999999999993</v>
      </c>
      <c r="D10" s="42">
        <v>-9.4</v>
      </c>
      <c r="E10" s="42">
        <v>-11.3</v>
      </c>
      <c r="F10" s="42">
        <v>-14.8</v>
      </c>
      <c r="G10" s="42">
        <v>-18.2</v>
      </c>
      <c r="H10" s="42">
        <v>-22.6</v>
      </c>
    </row>
    <row r="11" spans="2:8" ht="15" customHeight="1" x14ac:dyDescent="0.2">
      <c r="B11" s="25" t="s">
        <v>93</v>
      </c>
      <c r="C11" s="43">
        <v>2.1</v>
      </c>
      <c r="D11" s="43">
        <v>2.8</v>
      </c>
      <c r="E11" s="43">
        <v>3.4</v>
      </c>
      <c r="F11" s="43">
        <v>4.2</v>
      </c>
      <c r="G11" s="43">
        <v>5.0999999999999996</v>
      </c>
      <c r="H11" s="43">
        <v>6.3</v>
      </c>
    </row>
    <row r="12" spans="2:8" ht="15" customHeight="1" x14ac:dyDescent="0.2">
      <c r="B12" s="22" t="s">
        <v>94</v>
      </c>
      <c r="C12" s="42">
        <v>8.4</v>
      </c>
      <c r="D12" s="42">
        <v>9.8000000000000007</v>
      </c>
      <c r="E12" s="42">
        <v>11.2</v>
      </c>
      <c r="F12" s="42">
        <v>14.1</v>
      </c>
      <c r="G12" s="42">
        <v>17.2</v>
      </c>
      <c r="H12" s="42">
        <v>20.8</v>
      </c>
    </row>
    <row r="13" spans="2:8" ht="15" customHeight="1" x14ac:dyDescent="0.2">
      <c r="B13" s="54" t="s">
        <v>95</v>
      </c>
      <c r="C13" s="38">
        <f t="shared" ref="C13:H13" si="0">SUM(C6:C12)</f>
        <v>43.064536000000004</v>
      </c>
      <c r="D13" s="38">
        <f t="shared" si="0"/>
        <v>61.885066800000004</v>
      </c>
      <c r="E13" s="38">
        <f t="shared" si="0"/>
        <v>81.635760000000062</v>
      </c>
      <c r="F13" s="38">
        <f t="shared" si="0"/>
        <v>108.10331359999998</v>
      </c>
      <c r="G13" s="38">
        <f t="shared" si="0"/>
        <v>142.60816603728</v>
      </c>
      <c r="H13" s="38">
        <f t="shared" si="0"/>
        <v>184.35366266920011</v>
      </c>
    </row>
    <row r="15" spans="2:8" ht="15.75" customHeight="1" x14ac:dyDescent="0.2">
      <c r="B15" s="3" t="s">
        <v>96</v>
      </c>
      <c r="C15" s="3"/>
      <c r="D15" s="3"/>
      <c r="E15" s="3"/>
      <c r="F15" s="3"/>
      <c r="G15" s="3"/>
      <c r="H15" s="3"/>
    </row>
    <row r="16" spans="2:8" ht="15" customHeight="1" x14ac:dyDescent="0.2">
      <c r="B16" s="21" t="s">
        <v>31</v>
      </c>
      <c r="C16" s="11" t="s">
        <v>32</v>
      </c>
      <c r="D16" s="11" t="s">
        <v>33</v>
      </c>
      <c r="E16" s="11" t="s">
        <v>5</v>
      </c>
      <c r="F16" s="11" t="s">
        <v>6</v>
      </c>
      <c r="G16" s="11" t="s">
        <v>7</v>
      </c>
      <c r="H16" s="11" t="s">
        <v>34</v>
      </c>
    </row>
    <row r="17" spans="2:8" ht="15" customHeight="1" x14ac:dyDescent="0.2">
      <c r="B17" s="25" t="s">
        <v>97</v>
      </c>
      <c r="C17" s="46">
        <v>-9.6</v>
      </c>
      <c r="D17" s="46">
        <v>-10.199999999999999</v>
      </c>
      <c r="E17" s="46">
        <v>-11.9</v>
      </c>
      <c r="F17" s="46">
        <v>-13.9</v>
      </c>
      <c r="G17" s="46">
        <v>-16.399999999999999</v>
      </c>
      <c r="H17" s="46">
        <v>-18.8</v>
      </c>
    </row>
    <row r="18" spans="2:8" ht="15" customHeight="1" x14ac:dyDescent="0.2">
      <c r="B18" s="22" t="s">
        <v>98</v>
      </c>
      <c r="C18" s="47">
        <v>0</v>
      </c>
      <c r="D18" s="47">
        <v>-45</v>
      </c>
      <c r="E18" s="47">
        <v>0</v>
      </c>
      <c r="F18" s="47">
        <v>0</v>
      </c>
      <c r="G18" s="47">
        <v>0</v>
      </c>
      <c r="H18" s="47">
        <v>0</v>
      </c>
    </row>
    <row r="19" spans="2:8" ht="15" customHeight="1" x14ac:dyDescent="0.2">
      <c r="B19" s="54" t="s">
        <v>99</v>
      </c>
      <c r="C19" s="38">
        <f t="shared" ref="C19:H19" si="1">SUM(C17:C18)</f>
        <v>-9.6</v>
      </c>
      <c r="D19" s="38">
        <f t="shared" si="1"/>
        <v>-55.2</v>
      </c>
      <c r="E19" s="38">
        <f t="shared" si="1"/>
        <v>-11.9</v>
      </c>
      <c r="F19" s="38">
        <f t="shared" si="1"/>
        <v>-13.9</v>
      </c>
      <c r="G19" s="38">
        <f t="shared" si="1"/>
        <v>-16.399999999999999</v>
      </c>
      <c r="H19" s="38">
        <f t="shared" si="1"/>
        <v>-18.8</v>
      </c>
    </row>
    <row r="21" spans="2:8" ht="15.75" customHeight="1" x14ac:dyDescent="0.2">
      <c r="B21" s="3" t="s">
        <v>100</v>
      </c>
      <c r="C21" s="3"/>
      <c r="D21" s="3"/>
      <c r="E21" s="3"/>
      <c r="F21" s="3"/>
      <c r="G21" s="3"/>
      <c r="H21" s="3"/>
    </row>
    <row r="22" spans="2:8" ht="15" customHeight="1" x14ac:dyDescent="0.2">
      <c r="B22" s="21" t="s">
        <v>31</v>
      </c>
      <c r="C22" s="11" t="s">
        <v>32</v>
      </c>
      <c r="D22" s="11" t="s">
        <v>33</v>
      </c>
      <c r="E22" s="11" t="s">
        <v>5</v>
      </c>
      <c r="F22" s="11" t="s">
        <v>6</v>
      </c>
      <c r="G22" s="11" t="s">
        <v>7</v>
      </c>
      <c r="H22" s="11" t="s">
        <v>34</v>
      </c>
    </row>
    <row r="23" spans="2:8" ht="15" customHeight="1" x14ac:dyDescent="0.2">
      <c r="B23" s="25" t="s">
        <v>101</v>
      </c>
      <c r="C23" s="46">
        <v>0</v>
      </c>
      <c r="D23" s="46">
        <v>45</v>
      </c>
      <c r="E23" s="46">
        <v>-15</v>
      </c>
      <c r="F23" s="46">
        <v>-15</v>
      </c>
      <c r="G23" s="46">
        <v>-15</v>
      </c>
      <c r="H23" s="46">
        <v>0</v>
      </c>
    </row>
    <row r="24" spans="2:8" ht="15" customHeight="1" x14ac:dyDescent="0.2">
      <c r="B24" s="22" t="s">
        <v>102</v>
      </c>
      <c r="C24" s="47">
        <v>-8.4</v>
      </c>
      <c r="D24" s="47">
        <v>-12</v>
      </c>
      <c r="E24" s="47">
        <v>-14.2</v>
      </c>
      <c r="F24" s="47">
        <v>-16.8</v>
      </c>
      <c r="G24" s="47">
        <v>-18.399999999999999</v>
      </c>
      <c r="H24" s="47">
        <v>-20</v>
      </c>
    </row>
    <row r="25" spans="2:8" ht="15" customHeight="1" x14ac:dyDescent="0.2">
      <c r="B25" s="54" t="s">
        <v>103</v>
      </c>
      <c r="C25" s="38">
        <f t="shared" ref="C25:H25" si="2">SUM(C23:C24)</f>
        <v>-8.4</v>
      </c>
      <c r="D25" s="38">
        <f t="shared" si="2"/>
        <v>33</v>
      </c>
      <c r="E25" s="38">
        <f t="shared" si="2"/>
        <v>-29.2</v>
      </c>
      <c r="F25" s="38">
        <f t="shared" si="2"/>
        <v>-31.8</v>
      </c>
      <c r="G25" s="38">
        <f t="shared" si="2"/>
        <v>-33.4</v>
      </c>
      <c r="H25" s="38">
        <f t="shared" si="2"/>
        <v>-20</v>
      </c>
    </row>
    <row r="27" spans="2:8" ht="15.75" customHeight="1" x14ac:dyDescent="0.2">
      <c r="B27" s="3" t="s">
        <v>104</v>
      </c>
      <c r="C27" s="3"/>
      <c r="D27" s="3"/>
      <c r="E27" s="3"/>
      <c r="F27" s="3"/>
      <c r="G27" s="3"/>
      <c r="H27" s="3"/>
    </row>
    <row r="28" spans="2:8" ht="15" customHeight="1" x14ac:dyDescent="0.2">
      <c r="B28" s="21" t="s">
        <v>31</v>
      </c>
      <c r="C28" s="11" t="s">
        <v>32</v>
      </c>
      <c r="D28" s="11" t="s">
        <v>33</v>
      </c>
      <c r="E28" s="11" t="s">
        <v>5</v>
      </c>
      <c r="F28" s="11" t="s">
        <v>6</v>
      </c>
      <c r="G28" s="11" t="s">
        <v>7</v>
      </c>
      <c r="H28" s="11" t="s">
        <v>34</v>
      </c>
    </row>
    <row r="29" spans="2:8" ht="15" customHeight="1" x14ac:dyDescent="0.2">
      <c r="B29" s="54" t="s">
        <v>105</v>
      </c>
      <c r="C29" s="38">
        <f t="shared" ref="C29:H29" si="3">C13+C17</f>
        <v>33.464536000000003</v>
      </c>
      <c r="D29" s="38">
        <f t="shared" si="3"/>
        <v>51.685066800000001</v>
      </c>
      <c r="E29" s="38">
        <f t="shared" si="3"/>
        <v>69.735760000000056</v>
      </c>
      <c r="F29" s="38">
        <f t="shared" si="3"/>
        <v>94.203313599999973</v>
      </c>
      <c r="G29" s="38">
        <f t="shared" si="3"/>
        <v>126.20816603727999</v>
      </c>
      <c r="H29" s="38">
        <f t="shared" si="3"/>
        <v>165.55366266920009</v>
      </c>
    </row>
    <row r="30" spans="2:8" ht="15" customHeight="1" x14ac:dyDescent="0.2">
      <c r="B30" s="39" t="s">
        <v>106</v>
      </c>
      <c r="C30" s="41">
        <f>C29/'Income Statement'!C9</f>
        <v>0.15162907113729046</v>
      </c>
      <c r="D30" s="41">
        <f>D29/'Income Statement'!D9</f>
        <v>0.19135530099962975</v>
      </c>
      <c r="E30" s="41">
        <f>E29/'Income Statement'!E9</f>
        <v>0.22351205128205143</v>
      </c>
      <c r="F30" s="41">
        <f>F29/'Income Statement'!F9</f>
        <v>0.24984965414810092</v>
      </c>
      <c r="G30" s="41">
        <f>G29/'Income Statement'!G9</f>
        <v>0.27713345717999471</v>
      </c>
      <c r="H30" s="41">
        <f>H29/'Income Statement'!H9</f>
        <v>0.30137390851462553</v>
      </c>
    </row>
    <row r="32" spans="2:8" ht="15" customHeight="1" x14ac:dyDescent="0.2">
      <c r="B32" s="44" t="s">
        <v>107</v>
      </c>
      <c r="C32" s="45">
        <f t="shared" ref="C32:H32" si="4">C13+C19+C25</f>
        <v>25.064536000000004</v>
      </c>
      <c r="D32" s="45">
        <f t="shared" si="4"/>
        <v>39.685066800000001</v>
      </c>
      <c r="E32" s="45">
        <f t="shared" si="4"/>
        <v>40.535760000000053</v>
      </c>
      <c r="F32" s="45">
        <f t="shared" si="4"/>
        <v>62.403313599999976</v>
      </c>
      <c r="G32" s="45">
        <f t="shared" si="4"/>
        <v>92.808166037279989</v>
      </c>
      <c r="H32" s="45">
        <f t="shared" si="4"/>
        <v>145.55366266920009</v>
      </c>
    </row>
    <row r="33" spans="2:8" ht="15" customHeight="1" x14ac:dyDescent="0.2">
      <c r="B33" s="20" t="s">
        <v>108</v>
      </c>
      <c r="C33" s="46">
        <v>62.4</v>
      </c>
      <c r="D33" s="46">
        <v>65.7</v>
      </c>
      <c r="E33" s="46">
        <v>54.8</v>
      </c>
      <c r="F33" s="46">
        <v>68.2</v>
      </c>
      <c r="G33" s="46">
        <v>82.1</v>
      </c>
      <c r="H33" s="46">
        <v>96.8</v>
      </c>
    </row>
    <row r="34" spans="2:8" ht="15" customHeight="1" x14ac:dyDescent="0.2">
      <c r="B34" s="48" t="s">
        <v>109</v>
      </c>
      <c r="C34" s="49">
        <f t="shared" ref="C34:H34" si="5">C33+C32</f>
        <v>87.46453600000001</v>
      </c>
      <c r="D34" s="49">
        <f t="shared" si="5"/>
        <v>105.3850668</v>
      </c>
      <c r="E34" s="49">
        <f t="shared" si="5"/>
        <v>95.33576000000005</v>
      </c>
      <c r="F34" s="49">
        <f t="shared" si="5"/>
        <v>130.60331359999998</v>
      </c>
      <c r="G34" s="49">
        <f t="shared" si="5"/>
        <v>174.90816603727998</v>
      </c>
      <c r="H34" s="49">
        <f t="shared" si="5"/>
        <v>242.35366266920011</v>
      </c>
    </row>
  </sheetData>
  <mergeCells count="6">
    <mergeCell ref="B27:H27"/>
    <mergeCell ref="B1:H1"/>
    <mergeCell ref="B2:H2"/>
    <mergeCell ref="B4:H4"/>
    <mergeCell ref="B15:H15"/>
    <mergeCell ref="B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36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8" customWidth="1"/>
    <col min="3" max="8" width="12" customWidth="1"/>
  </cols>
  <sheetData>
    <row r="1" spans="2:8" ht="21.75" customHeight="1" x14ac:dyDescent="0.2">
      <c r="B1" s="4" t="s">
        <v>110</v>
      </c>
      <c r="C1" s="4"/>
      <c r="D1" s="4"/>
      <c r="E1" s="4"/>
      <c r="F1" s="4"/>
      <c r="G1" s="4"/>
      <c r="H1" s="4"/>
    </row>
    <row r="2" spans="2:8" ht="15" customHeight="1" x14ac:dyDescent="0.2">
      <c r="B2" s="2" t="s">
        <v>56</v>
      </c>
      <c r="C2" s="2"/>
      <c r="D2" s="2"/>
      <c r="E2" s="2"/>
      <c r="F2" s="2"/>
      <c r="G2" s="2"/>
      <c r="H2" s="2"/>
    </row>
    <row r="4" spans="2:8" ht="15.75" customHeight="1" x14ac:dyDescent="0.2">
      <c r="B4" s="3" t="s">
        <v>111</v>
      </c>
      <c r="C4" s="3"/>
      <c r="D4" s="3"/>
      <c r="E4" s="3"/>
      <c r="F4" s="3"/>
      <c r="G4" s="3"/>
      <c r="H4" s="3"/>
    </row>
    <row r="5" spans="2:8" ht="15" customHeight="1" x14ac:dyDescent="0.2">
      <c r="B5" s="21" t="s">
        <v>31</v>
      </c>
      <c r="C5" s="11" t="s">
        <v>32</v>
      </c>
      <c r="D5" s="11" t="s">
        <v>33</v>
      </c>
      <c r="E5" s="11" t="s">
        <v>5</v>
      </c>
      <c r="F5" s="11" t="s">
        <v>6</v>
      </c>
      <c r="G5" s="11" t="s">
        <v>7</v>
      </c>
      <c r="H5" s="11" t="s">
        <v>34</v>
      </c>
    </row>
    <row r="6" spans="2:8" ht="15" customHeight="1" x14ac:dyDescent="0.2">
      <c r="B6" s="22" t="s">
        <v>112</v>
      </c>
      <c r="C6" s="35">
        <f>'Cash Flow'!C34</f>
        <v>87.46453600000001</v>
      </c>
      <c r="D6" s="35">
        <f>'Cash Flow'!D34</f>
        <v>105.3850668</v>
      </c>
      <c r="E6" s="35">
        <f>'Cash Flow'!E34</f>
        <v>95.33576000000005</v>
      </c>
      <c r="F6" s="35">
        <f>'Cash Flow'!F34</f>
        <v>130.60331359999998</v>
      </c>
      <c r="G6" s="35">
        <f>'Cash Flow'!G34</f>
        <v>174.90816603727998</v>
      </c>
      <c r="H6" s="35">
        <f>'Cash Flow'!H34</f>
        <v>242.35366266920011</v>
      </c>
    </row>
    <row r="7" spans="2:8" ht="15" customHeight="1" x14ac:dyDescent="0.2">
      <c r="B7" s="25" t="s">
        <v>113</v>
      </c>
      <c r="C7" s="43">
        <v>34.200000000000003</v>
      </c>
      <c r="D7" s="43">
        <v>42.4</v>
      </c>
      <c r="E7" s="43">
        <v>52.1</v>
      </c>
      <c r="F7" s="43">
        <v>64.8</v>
      </c>
      <c r="G7" s="43">
        <v>80.400000000000006</v>
      </c>
      <c r="H7" s="43">
        <v>99.8</v>
      </c>
    </row>
    <row r="8" spans="2:8" ht="15" customHeight="1" x14ac:dyDescent="0.2">
      <c r="B8" s="22" t="s">
        <v>114</v>
      </c>
      <c r="C8" s="42">
        <v>8.1999999999999993</v>
      </c>
      <c r="D8" s="42">
        <v>9.4</v>
      </c>
      <c r="E8" s="42">
        <v>11.2</v>
      </c>
      <c r="F8" s="42">
        <v>13.8</v>
      </c>
      <c r="G8" s="42">
        <v>17.100000000000001</v>
      </c>
      <c r="H8" s="42">
        <v>21.2</v>
      </c>
    </row>
    <row r="9" spans="2:8" ht="15" customHeight="1" x14ac:dyDescent="0.2">
      <c r="B9" s="37" t="s">
        <v>115</v>
      </c>
      <c r="C9" s="55">
        <f t="shared" ref="C9:H9" si="0">SUM(C6:C8)</f>
        <v>129.86453600000002</v>
      </c>
      <c r="D9" s="55">
        <f t="shared" si="0"/>
        <v>157.18506680000002</v>
      </c>
      <c r="E9" s="55">
        <f t="shared" si="0"/>
        <v>158.63576000000003</v>
      </c>
      <c r="F9" s="55">
        <f t="shared" si="0"/>
        <v>209.2033136</v>
      </c>
      <c r="G9" s="55">
        <f t="shared" si="0"/>
        <v>272.40816603728001</v>
      </c>
      <c r="H9" s="55">
        <f t="shared" si="0"/>
        <v>363.35366266920011</v>
      </c>
    </row>
    <row r="11" spans="2:8" ht="15" customHeight="1" x14ac:dyDescent="0.2">
      <c r="B11" s="25" t="s">
        <v>116</v>
      </c>
      <c r="C11" s="43">
        <v>28.4</v>
      </c>
      <c r="D11" s="43">
        <v>32.6</v>
      </c>
      <c r="E11" s="43">
        <v>36.799999999999997</v>
      </c>
      <c r="F11" s="43">
        <v>42.1</v>
      </c>
      <c r="G11" s="43">
        <v>48.6</v>
      </c>
      <c r="H11" s="43">
        <v>55.4</v>
      </c>
    </row>
    <row r="12" spans="2:8" ht="15" customHeight="1" x14ac:dyDescent="0.2">
      <c r="B12" s="22" t="s">
        <v>117</v>
      </c>
      <c r="C12" s="42">
        <v>62.4</v>
      </c>
      <c r="D12" s="42">
        <v>58.1</v>
      </c>
      <c r="E12" s="42">
        <v>53.8</v>
      </c>
      <c r="F12" s="42">
        <v>49.5</v>
      </c>
      <c r="G12" s="42">
        <v>45.2</v>
      </c>
      <c r="H12" s="42">
        <v>41</v>
      </c>
    </row>
    <row r="13" spans="2:8" ht="15" customHeight="1" x14ac:dyDescent="0.2">
      <c r="B13" s="25" t="s">
        <v>118</v>
      </c>
      <c r="C13" s="43">
        <v>12.4</v>
      </c>
      <c r="D13" s="43">
        <v>14.2</v>
      </c>
      <c r="E13" s="43">
        <v>16.8</v>
      </c>
      <c r="F13" s="43">
        <v>18.899999999999999</v>
      </c>
      <c r="G13" s="43">
        <v>21.4</v>
      </c>
      <c r="H13" s="43">
        <v>24.2</v>
      </c>
    </row>
    <row r="14" spans="2:8" ht="15" customHeight="1" x14ac:dyDescent="0.2">
      <c r="B14" s="37" t="s">
        <v>119</v>
      </c>
      <c r="C14" s="55">
        <f t="shared" ref="C14:H14" si="1">SUM(C11:C13)</f>
        <v>103.2</v>
      </c>
      <c r="D14" s="55">
        <f t="shared" si="1"/>
        <v>104.9</v>
      </c>
      <c r="E14" s="55">
        <f t="shared" si="1"/>
        <v>107.39999999999999</v>
      </c>
      <c r="F14" s="55">
        <f t="shared" si="1"/>
        <v>110.5</v>
      </c>
      <c r="G14" s="55">
        <f t="shared" si="1"/>
        <v>115.20000000000002</v>
      </c>
      <c r="H14" s="55">
        <f t="shared" si="1"/>
        <v>120.60000000000001</v>
      </c>
    </row>
    <row r="15" spans="2:8" ht="15" customHeight="1" x14ac:dyDescent="0.2">
      <c r="B15" s="56" t="s">
        <v>120</v>
      </c>
      <c r="C15" s="57">
        <f t="shared" ref="C15:H15" si="2">C9+C14</f>
        <v>233.06453600000003</v>
      </c>
      <c r="D15" s="57">
        <f t="shared" si="2"/>
        <v>262.08506680000005</v>
      </c>
      <c r="E15" s="57">
        <f t="shared" si="2"/>
        <v>266.03576000000004</v>
      </c>
      <c r="F15" s="57">
        <f t="shared" si="2"/>
        <v>319.7033136</v>
      </c>
      <c r="G15" s="57">
        <f t="shared" si="2"/>
        <v>387.60816603728006</v>
      </c>
      <c r="H15" s="57">
        <f t="shared" si="2"/>
        <v>483.95366266920013</v>
      </c>
    </row>
    <row r="17" spans="2:8" ht="15.75" customHeight="1" x14ac:dyDescent="0.2">
      <c r="B17" s="3" t="s">
        <v>121</v>
      </c>
      <c r="C17" s="3"/>
      <c r="D17" s="3"/>
      <c r="E17" s="3"/>
      <c r="F17" s="3"/>
      <c r="G17" s="3"/>
      <c r="H17" s="3"/>
    </row>
    <row r="18" spans="2:8" ht="15" customHeight="1" x14ac:dyDescent="0.2">
      <c r="B18" s="21" t="s">
        <v>31</v>
      </c>
      <c r="C18" s="11" t="s">
        <v>32</v>
      </c>
      <c r="D18" s="11" t="s">
        <v>33</v>
      </c>
      <c r="E18" s="11" t="s">
        <v>5</v>
      </c>
      <c r="F18" s="11" t="s">
        <v>6</v>
      </c>
      <c r="G18" s="11" t="s">
        <v>7</v>
      </c>
      <c r="H18" s="11" t="s">
        <v>34</v>
      </c>
    </row>
    <row r="19" spans="2:8" ht="15" customHeight="1" x14ac:dyDescent="0.2">
      <c r="B19" s="25" t="s">
        <v>122</v>
      </c>
      <c r="C19" s="43">
        <v>10.199999999999999</v>
      </c>
      <c r="D19" s="43">
        <v>11.8</v>
      </c>
      <c r="E19" s="43">
        <v>13.4</v>
      </c>
      <c r="F19" s="43">
        <v>16.2</v>
      </c>
      <c r="G19" s="43">
        <v>19.8</v>
      </c>
      <c r="H19" s="43">
        <v>24.1</v>
      </c>
    </row>
    <row r="20" spans="2:8" ht="15" customHeight="1" x14ac:dyDescent="0.2">
      <c r="B20" s="22" t="s">
        <v>123</v>
      </c>
      <c r="C20" s="42">
        <v>24.2</v>
      </c>
      <c r="D20" s="42">
        <v>28.4</v>
      </c>
      <c r="E20" s="42">
        <v>33.200000000000003</v>
      </c>
      <c r="F20" s="42">
        <v>39.799999999999997</v>
      </c>
      <c r="G20" s="42">
        <v>48.2</v>
      </c>
      <c r="H20" s="42">
        <v>58.4</v>
      </c>
    </row>
    <row r="21" spans="2:8" ht="15" customHeight="1" x14ac:dyDescent="0.2">
      <c r="B21" s="25" t="s">
        <v>124</v>
      </c>
      <c r="C21" s="43">
        <v>18.399999999999999</v>
      </c>
      <c r="D21" s="43">
        <v>21.2</v>
      </c>
      <c r="E21" s="43">
        <v>24.8</v>
      </c>
      <c r="F21" s="43">
        <v>28.9</v>
      </c>
      <c r="G21" s="43">
        <v>33.4</v>
      </c>
      <c r="H21" s="43">
        <v>38.799999999999997</v>
      </c>
    </row>
    <row r="22" spans="2:8" ht="15" customHeight="1" x14ac:dyDescent="0.2">
      <c r="B22" s="37" t="s">
        <v>125</v>
      </c>
      <c r="C22" s="55">
        <f t="shared" ref="C22:H22" si="3">SUM(C19:C21)</f>
        <v>52.8</v>
      </c>
      <c r="D22" s="55">
        <f t="shared" si="3"/>
        <v>61.400000000000006</v>
      </c>
      <c r="E22" s="55">
        <f t="shared" si="3"/>
        <v>71.400000000000006</v>
      </c>
      <c r="F22" s="55">
        <f t="shared" si="3"/>
        <v>84.9</v>
      </c>
      <c r="G22" s="55">
        <f t="shared" si="3"/>
        <v>101.4</v>
      </c>
      <c r="H22" s="55">
        <f t="shared" si="3"/>
        <v>121.3</v>
      </c>
    </row>
    <row r="24" spans="2:8" ht="15" customHeight="1" x14ac:dyDescent="0.2">
      <c r="B24" s="22" t="s">
        <v>126</v>
      </c>
      <c r="C24" s="42">
        <v>45</v>
      </c>
      <c r="D24" s="42">
        <v>86.2</v>
      </c>
      <c r="E24" s="42">
        <v>71.2</v>
      </c>
      <c r="F24" s="42">
        <v>56.2</v>
      </c>
      <c r="G24" s="42">
        <v>41.2</v>
      </c>
      <c r="H24" s="42">
        <v>41.2</v>
      </c>
    </row>
    <row r="25" spans="2:8" ht="15" customHeight="1" x14ac:dyDescent="0.2">
      <c r="B25" s="25" t="s">
        <v>127</v>
      </c>
      <c r="C25" s="43">
        <v>8.4</v>
      </c>
      <c r="D25" s="43">
        <v>9.8000000000000007</v>
      </c>
      <c r="E25" s="43">
        <v>11.2</v>
      </c>
      <c r="F25" s="43">
        <v>13.4</v>
      </c>
      <c r="G25" s="43">
        <v>16.2</v>
      </c>
      <c r="H25" s="43">
        <v>19.8</v>
      </c>
    </row>
    <row r="26" spans="2:8" ht="15" customHeight="1" x14ac:dyDescent="0.2">
      <c r="B26" s="22" t="s">
        <v>128</v>
      </c>
      <c r="C26" s="42">
        <v>6.2</v>
      </c>
      <c r="D26" s="42">
        <v>7.1</v>
      </c>
      <c r="E26" s="42">
        <v>8.1999999999999993</v>
      </c>
      <c r="F26" s="42">
        <v>9.4</v>
      </c>
      <c r="G26" s="42">
        <v>10.8</v>
      </c>
      <c r="H26" s="42">
        <v>12.4</v>
      </c>
    </row>
    <row r="27" spans="2:8" ht="15" customHeight="1" x14ac:dyDescent="0.2">
      <c r="B27" s="37" t="s">
        <v>129</v>
      </c>
      <c r="C27" s="55">
        <f t="shared" ref="C27:H27" si="4">SUM(C24:C26)</f>
        <v>59.6</v>
      </c>
      <c r="D27" s="55">
        <f t="shared" si="4"/>
        <v>103.1</v>
      </c>
      <c r="E27" s="55">
        <f t="shared" si="4"/>
        <v>90.600000000000009</v>
      </c>
      <c r="F27" s="55">
        <f t="shared" si="4"/>
        <v>79.000000000000014</v>
      </c>
      <c r="G27" s="55">
        <f t="shared" si="4"/>
        <v>68.2</v>
      </c>
      <c r="H27" s="55">
        <f t="shared" si="4"/>
        <v>73.400000000000006</v>
      </c>
    </row>
    <row r="28" spans="2:8" ht="15" customHeight="1" x14ac:dyDescent="0.2">
      <c r="B28" s="56" t="s">
        <v>130</v>
      </c>
      <c r="C28" s="57">
        <f t="shared" ref="C28:H28" si="5">C22+C27</f>
        <v>112.4</v>
      </c>
      <c r="D28" s="57">
        <f t="shared" si="5"/>
        <v>164.5</v>
      </c>
      <c r="E28" s="57">
        <f t="shared" si="5"/>
        <v>162</v>
      </c>
      <c r="F28" s="57">
        <f t="shared" si="5"/>
        <v>163.90000000000003</v>
      </c>
      <c r="G28" s="57">
        <f t="shared" si="5"/>
        <v>169.60000000000002</v>
      </c>
      <c r="H28" s="57">
        <f t="shared" si="5"/>
        <v>194.7</v>
      </c>
    </row>
    <row r="30" spans="2:8" ht="15" customHeight="1" x14ac:dyDescent="0.2">
      <c r="B30" s="22" t="s">
        <v>131</v>
      </c>
      <c r="C30" s="42">
        <v>128.4</v>
      </c>
      <c r="D30" s="42">
        <v>142.6</v>
      </c>
      <c r="E30" s="42">
        <v>159.4</v>
      </c>
      <c r="F30" s="42">
        <v>178.3</v>
      </c>
      <c r="G30" s="42">
        <v>199.7</v>
      </c>
      <c r="H30" s="42">
        <v>223.9</v>
      </c>
    </row>
    <row r="31" spans="2:8" ht="15" customHeight="1" x14ac:dyDescent="0.2">
      <c r="B31" s="25" t="s">
        <v>132</v>
      </c>
      <c r="C31" s="43">
        <v>24.2</v>
      </c>
      <c r="D31" s="43">
        <v>36.799999999999997</v>
      </c>
      <c r="E31" s="43">
        <v>56.2</v>
      </c>
      <c r="F31" s="43">
        <v>98.4</v>
      </c>
      <c r="G31" s="43">
        <v>158.19999999999999</v>
      </c>
      <c r="H31" s="43">
        <v>236.8</v>
      </c>
    </row>
    <row r="32" spans="2:8" ht="15" customHeight="1" x14ac:dyDescent="0.2">
      <c r="B32" s="22" t="s">
        <v>133</v>
      </c>
      <c r="C32" s="42">
        <v>-28.4</v>
      </c>
      <c r="D32" s="42">
        <v>-40.4</v>
      </c>
      <c r="E32" s="42">
        <v>-54.6</v>
      </c>
      <c r="F32" s="42">
        <v>-71.400000000000006</v>
      </c>
      <c r="G32" s="42">
        <v>-89.8</v>
      </c>
      <c r="H32" s="42">
        <v>-109.8</v>
      </c>
    </row>
    <row r="33" spans="2:8" ht="15" customHeight="1" x14ac:dyDescent="0.2">
      <c r="B33" s="37" t="s">
        <v>134</v>
      </c>
      <c r="C33" s="55">
        <f t="shared" ref="C33:H33" si="6">SUM(C30:C32)</f>
        <v>124.19999999999999</v>
      </c>
      <c r="D33" s="55">
        <f t="shared" si="6"/>
        <v>138.99999999999997</v>
      </c>
      <c r="E33" s="55">
        <f t="shared" si="6"/>
        <v>161.00000000000003</v>
      </c>
      <c r="F33" s="55">
        <f t="shared" si="6"/>
        <v>205.30000000000004</v>
      </c>
      <c r="G33" s="55">
        <f t="shared" si="6"/>
        <v>268.09999999999997</v>
      </c>
      <c r="H33" s="55">
        <f t="shared" si="6"/>
        <v>350.90000000000003</v>
      </c>
    </row>
    <row r="34" spans="2:8" ht="15" customHeight="1" x14ac:dyDescent="0.2">
      <c r="B34" s="56" t="s">
        <v>135</v>
      </c>
      <c r="C34" s="57">
        <f t="shared" ref="C34:H34" si="7">C28+C33</f>
        <v>236.6</v>
      </c>
      <c r="D34" s="57">
        <f t="shared" si="7"/>
        <v>303.5</v>
      </c>
      <c r="E34" s="57">
        <f t="shared" si="7"/>
        <v>323</v>
      </c>
      <c r="F34" s="57">
        <f t="shared" si="7"/>
        <v>369.20000000000005</v>
      </c>
      <c r="G34" s="57">
        <f t="shared" si="7"/>
        <v>437.7</v>
      </c>
      <c r="H34" s="57">
        <f t="shared" si="7"/>
        <v>545.6</v>
      </c>
    </row>
    <row r="36" spans="2:8" ht="15" customHeight="1" x14ac:dyDescent="0.2">
      <c r="B36" s="1" t="s">
        <v>136</v>
      </c>
      <c r="C36" s="1"/>
      <c r="D36" s="1"/>
      <c r="E36" s="1"/>
      <c r="F36" s="58" t="str">
        <f>IF(ABS(H15-H34)&lt;0.1,"BALANCED","CHECK")</f>
        <v>CHECK</v>
      </c>
    </row>
  </sheetData>
  <mergeCells count="5">
    <mergeCell ref="B1:H1"/>
    <mergeCell ref="B2:H2"/>
    <mergeCell ref="B4:H4"/>
    <mergeCell ref="B17:H17"/>
    <mergeCell ref="B36:E3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25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5" customWidth="1"/>
    <col min="3" max="9" width="14" customWidth="1"/>
  </cols>
  <sheetData>
    <row r="1" spans="2:9" ht="15.75" customHeight="1" x14ac:dyDescent="0.2">
      <c r="B1" s="4" t="s">
        <v>137</v>
      </c>
      <c r="C1" s="4"/>
      <c r="D1" s="4"/>
      <c r="E1" s="4"/>
      <c r="F1" s="4"/>
      <c r="G1" s="4"/>
      <c r="H1" s="4"/>
      <c r="I1" s="4"/>
    </row>
    <row r="2" spans="2:9" ht="15" customHeight="1" x14ac:dyDescent="0.2">
      <c r="B2" s="2" t="s">
        <v>138</v>
      </c>
      <c r="C2" s="2"/>
      <c r="D2" s="2"/>
      <c r="E2" s="2"/>
      <c r="F2" s="2"/>
      <c r="G2" s="2"/>
      <c r="H2" s="2"/>
      <c r="I2" s="2"/>
    </row>
    <row r="4" spans="2:9" ht="15.75" customHeight="1" x14ac:dyDescent="0.2">
      <c r="B4" s="3" t="s">
        <v>139</v>
      </c>
      <c r="C4" s="3"/>
      <c r="D4" s="3"/>
      <c r="E4" s="3"/>
      <c r="F4" s="3"/>
      <c r="G4" s="3"/>
      <c r="H4" s="3"/>
    </row>
    <row r="5" spans="2:9" ht="15" customHeight="1" x14ac:dyDescent="0.2">
      <c r="B5" s="11" t="s">
        <v>140</v>
      </c>
      <c r="C5" s="59">
        <v>0.22</v>
      </c>
      <c r="D5" s="59">
        <v>0.24</v>
      </c>
      <c r="E5" s="59">
        <v>0.26</v>
      </c>
      <c r="F5" s="59">
        <v>0.28000000000000003</v>
      </c>
      <c r="G5" s="59">
        <v>0.3</v>
      </c>
      <c r="H5" s="59">
        <v>0.32</v>
      </c>
    </row>
    <row r="6" spans="2:9" ht="15" customHeight="1" x14ac:dyDescent="0.2">
      <c r="B6" s="59">
        <v>0.15</v>
      </c>
      <c r="C6" s="60">
        <v>121.7</v>
      </c>
      <c r="D6" s="61">
        <v>132.80000000000001</v>
      </c>
      <c r="E6" s="61">
        <v>143.80000000000001</v>
      </c>
      <c r="F6" s="61">
        <v>154.9</v>
      </c>
      <c r="G6" s="62">
        <v>165.9</v>
      </c>
      <c r="H6" s="62">
        <v>177</v>
      </c>
    </row>
    <row r="7" spans="2:9" ht="15" customHeight="1" x14ac:dyDescent="0.2">
      <c r="B7" s="59">
        <v>0.18</v>
      </c>
      <c r="C7" s="60">
        <v>124.9</v>
      </c>
      <c r="D7" s="61">
        <v>136.19999999999999</v>
      </c>
      <c r="E7" s="61">
        <v>147.6</v>
      </c>
      <c r="F7" s="61">
        <v>158.9</v>
      </c>
      <c r="G7" s="62">
        <v>170.3</v>
      </c>
      <c r="H7" s="62">
        <v>181.6</v>
      </c>
    </row>
    <row r="8" spans="2:9" ht="15" customHeight="1" x14ac:dyDescent="0.2">
      <c r="B8" s="59">
        <v>0.21</v>
      </c>
      <c r="C8" s="60">
        <v>128</v>
      </c>
      <c r="D8" s="61">
        <v>139.69999999999999</v>
      </c>
      <c r="E8" s="61">
        <v>151.30000000000001</v>
      </c>
      <c r="F8" s="62">
        <v>163</v>
      </c>
      <c r="G8" s="62">
        <v>174.6</v>
      </c>
      <c r="H8" s="62">
        <v>186.2</v>
      </c>
    </row>
    <row r="9" spans="2:9" ht="15" customHeight="1" x14ac:dyDescent="0.2">
      <c r="B9" s="59">
        <v>0.24</v>
      </c>
      <c r="C9" s="61">
        <v>131.19999999999999</v>
      </c>
      <c r="D9" s="61">
        <v>143.1</v>
      </c>
      <c r="E9" s="61">
        <v>155.1</v>
      </c>
      <c r="F9" s="62">
        <v>167</v>
      </c>
      <c r="G9" s="62">
        <v>178.9</v>
      </c>
      <c r="H9" s="62">
        <v>190.9</v>
      </c>
    </row>
    <row r="10" spans="2:9" ht="15" customHeight="1" x14ac:dyDescent="0.2">
      <c r="B10" s="59">
        <v>0.27</v>
      </c>
      <c r="C10" s="61">
        <v>134.4</v>
      </c>
      <c r="D10" s="61">
        <v>146.6</v>
      </c>
      <c r="E10" s="61">
        <v>158.80000000000001</v>
      </c>
      <c r="F10" s="62">
        <v>171</v>
      </c>
      <c r="G10" s="62">
        <v>183.3</v>
      </c>
      <c r="H10" s="62">
        <v>195.5</v>
      </c>
    </row>
    <row r="11" spans="2:9" ht="15" customHeight="1" x14ac:dyDescent="0.2">
      <c r="B11" s="59">
        <v>0.3</v>
      </c>
      <c r="C11" s="61">
        <v>137.6</v>
      </c>
      <c r="D11" s="61">
        <v>150.1</v>
      </c>
      <c r="E11" s="62">
        <v>162.6</v>
      </c>
      <c r="F11" s="62">
        <v>175.1</v>
      </c>
      <c r="G11" s="62">
        <v>187.6</v>
      </c>
      <c r="H11" s="62">
        <v>200.1</v>
      </c>
    </row>
    <row r="14" spans="2:9" ht="15" customHeight="1" x14ac:dyDescent="0.2">
      <c r="B14" s="19" t="s">
        <v>141</v>
      </c>
      <c r="C14" s="63" t="s">
        <v>142</v>
      </c>
      <c r="D14" s="64" t="s">
        <v>143</v>
      </c>
      <c r="E14" s="65" t="s">
        <v>144</v>
      </c>
      <c r="F14" s="66" t="s">
        <v>145</v>
      </c>
      <c r="G14" s="67" t="s">
        <v>146</v>
      </c>
    </row>
    <row r="16" spans="2:9" ht="15.75" customHeight="1" x14ac:dyDescent="0.2">
      <c r="B16" s="3" t="s">
        <v>147</v>
      </c>
      <c r="C16" s="3"/>
      <c r="D16" s="3"/>
      <c r="E16" s="3"/>
      <c r="F16" s="3"/>
      <c r="G16" s="3"/>
      <c r="H16" s="3"/>
    </row>
    <row r="17" spans="2:5" ht="15" customHeight="1" x14ac:dyDescent="0.2">
      <c r="B17" s="11" t="s">
        <v>4</v>
      </c>
      <c r="C17" s="11" t="s">
        <v>148</v>
      </c>
      <c r="D17" s="11" t="s">
        <v>149</v>
      </c>
      <c r="E17" s="11" t="s">
        <v>150</v>
      </c>
    </row>
    <row r="18" spans="2:5" ht="15" customHeight="1" x14ac:dyDescent="0.2">
      <c r="B18" s="22" t="s">
        <v>151</v>
      </c>
      <c r="C18" s="68">
        <v>0.18</v>
      </c>
      <c r="D18" s="69">
        <f>Assumptions!H13</f>
        <v>0.20624255676920158</v>
      </c>
      <c r="E18" s="68">
        <v>0.3</v>
      </c>
    </row>
    <row r="19" spans="2:5" ht="15" customHeight="1" x14ac:dyDescent="0.2">
      <c r="B19" s="25" t="s">
        <v>10</v>
      </c>
      <c r="C19" s="70">
        <v>0.66</v>
      </c>
      <c r="D19" s="71">
        <f>Assumptions!H17</f>
        <v>0.73199999999999998</v>
      </c>
      <c r="E19" s="70">
        <v>0.76</v>
      </c>
    </row>
    <row r="20" spans="2:5" ht="15" customHeight="1" x14ac:dyDescent="0.2">
      <c r="B20" s="22" t="s">
        <v>12</v>
      </c>
      <c r="C20" s="68">
        <v>0.2</v>
      </c>
      <c r="D20" s="69">
        <f>'Income Statement'!H30/'Income Statement'!H9</f>
        <v>0.35400000000000009</v>
      </c>
      <c r="E20" s="68">
        <v>0.33</v>
      </c>
    </row>
    <row r="21" spans="2:5" ht="15" customHeight="1" x14ac:dyDescent="0.2">
      <c r="B21" s="25" t="s">
        <v>152</v>
      </c>
      <c r="C21" s="72">
        <f>ROUND('Income Statement'!E9*(1+C18)^3,0)</f>
        <v>513</v>
      </c>
      <c r="D21" s="73">
        <f>'Income Statement'!H9</f>
        <v>549.32977936000009</v>
      </c>
      <c r="E21" s="74">
        <f>ROUND('Income Statement'!E9*(1+E18)^3,0)</f>
        <v>685</v>
      </c>
    </row>
    <row r="22" spans="2:5" ht="15" customHeight="1" x14ac:dyDescent="0.2">
      <c r="B22" s="22" t="s">
        <v>153</v>
      </c>
      <c r="C22" s="75">
        <f>ROUND(C21*C20,0)</f>
        <v>103</v>
      </c>
      <c r="D22" s="76">
        <f>'Income Statement'!H30</f>
        <v>194.4627418934401</v>
      </c>
      <c r="E22" s="77">
        <f>ROUND(E21*E20,0)</f>
        <v>226</v>
      </c>
    </row>
    <row r="23" spans="2:5" ht="15" customHeight="1" x14ac:dyDescent="0.2">
      <c r="B23" s="25" t="s">
        <v>154</v>
      </c>
      <c r="C23" s="78">
        <v>18</v>
      </c>
      <c r="D23" s="78">
        <v>24</v>
      </c>
      <c r="E23" s="78">
        <v>30</v>
      </c>
    </row>
    <row r="24" spans="2:5" ht="15" customHeight="1" x14ac:dyDescent="0.2">
      <c r="B24" s="22" t="s">
        <v>155</v>
      </c>
      <c r="C24" s="75">
        <f>ROUND(C22*C23,0)</f>
        <v>1854</v>
      </c>
      <c r="D24" s="76">
        <f>ROUND(D22*D23,0)</f>
        <v>4667</v>
      </c>
      <c r="E24" s="77">
        <f>ROUND(E22*E23,0)</f>
        <v>6780</v>
      </c>
    </row>
    <row r="25" spans="2:5" ht="15" customHeight="1" x14ac:dyDescent="0.2">
      <c r="B25" s="25" t="s">
        <v>156</v>
      </c>
      <c r="C25" s="72">
        <f>ROUND((C24-'Balance Sheet'!H24+'Balance Sheet'!H6)/'Income Statement'!H40,0)</f>
        <v>131</v>
      </c>
      <c r="D25" s="73">
        <f>ROUND((D24-'Balance Sheet'!H24+'Balance Sheet'!H6)/'Income Statement'!H40,0)</f>
        <v>310</v>
      </c>
      <c r="E25" s="74">
        <f>ROUND((E24-'Balance Sheet'!H24+'Balance Sheet'!H6)/'Income Statement'!H40,0)</f>
        <v>445</v>
      </c>
    </row>
  </sheetData>
  <mergeCells count="4">
    <mergeCell ref="B1:I1"/>
    <mergeCell ref="B2:I2"/>
    <mergeCell ref="B4:H4"/>
    <mergeCell ref="B16:H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Income Statement</vt:lpstr>
      <vt:lpstr>Cash Flow</vt:lpstr>
      <vt:lpstr>Balance Sheet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Nelson Olawoyin</cp:lastModifiedBy>
  <cp:revision>0</cp:revision>
  <dcterms:created xsi:type="dcterms:W3CDTF">2026-03-17T00:05:17Z</dcterms:created>
  <dcterms:modified xsi:type="dcterms:W3CDTF">2026-05-08T00:30:56Z</dcterms:modified>
  <dc:language>en-US</dc:language>
</cp:coreProperties>
</file>