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Income Statement" sheetId="3" state="visible" r:id="rId5"/>
    <sheet name="Cash Flow" sheetId="4" state="visible" r:id="rId6"/>
    <sheet name="Balance Sheet" sheetId="5" state="visible" r:id="rId7"/>
    <sheet name="Sensitivity Analysi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<sst xmlns="http://schemas.openxmlformats.org/spreadsheetml/2006/main" count="294" uniqueCount="198">
  <si>
    <t xml:space="preserve">NEXUS TECHNOLOGY CORPORATION</t>
  </si>
  <si>
    <t xml:space="preserve">Integrated 3-Statement Financial Model | FY2022A – FY2027E</t>
  </si>
  <si>
    <t xml:space="preserve">Enterprise Software &amp; Cloud Infrastructure | NASDAQ: NXTC</t>
  </si>
  <si>
    <t xml:space="preserve">KEY FINANCIAL HIGHLIGHTS</t>
  </si>
  <si>
    <t xml:space="preserve">Metric</t>
  </si>
  <si>
    <t xml:space="preserve">FY2024A</t>
  </si>
  <si>
    <t xml:space="preserve">FY2025E</t>
  </si>
  <si>
    <t xml:space="preserve">FY2026E</t>
  </si>
  <si>
    <t xml:space="preserve">Revenue ($mm)</t>
  </si>
  <si>
    <t xml:space="preserve">$312</t>
  </si>
  <si>
    <t xml:space="preserve">$387</t>
  </si>
  <si>
    <t xml:space="preserve">$481</t>
  </si>
  <si>
    <t xml:space="preserve">Revenue Growth</t>
  </si>
  <si>
    <t xml:space="preserve">24.8%</t>
  </si>
  <si>
    <t xml:space="preserve">24.0%</t>
  </si>
  <si>
    <t xml:space="preserve">24.2%</t>
  </si>
  <si>
    <t xml:space="preserve">Gross Margin</t>
  </si>
  <si>
    <t xml:space="preserve">68.4%</t>
  </si>
  <si>
    <t xml:space="preserve">70.1%</t>
  </si>
  <si>
    <t xml:space="preserve">71.8%</t>
  </si>
  <si>
    <t xml:space="preserve">EBITDA ($mm)</t>
  </si>
  <si>
    <t xml:space="preserve">$62</t>
  </si>
  <si>
    <t xml:space="preserve">$91</t>
  </si>
  <si>
    <t xml:space="preserve">$130</t>
  </si>
  <si>
    <t xml:space="preserve">EBITDA Margin</t>
  </si>
  <si>
    <t xml:space="preserve">19.9%</t>
  </si>
  <si>
    <t xml:space="preserve">23.5%</t>
  </si>
  <si>
    <t xml:space="preserve">27.0%</t>
  </si>
  <si>
    <t xml:space="preserve">Net Income ($mm)</t>
  </si>
  <si>
    <t xml:space="preserve">$28</t>
  </si>
  <si>
    <t xml:space="preserve">$49</t>
  </si>
  <si>
    <t xml:space="preserve">$78</t>
  </si>
  <si>
    <t xml:space="preserve">EPS (Diluted)</t>
  </si>
  <si>
    <t xml:space="preserve">$1.87</t>
  </si>
  <si>
    <t xml:space="preserve">$3.19</t>
  </si>
  <si>
    <t xml:space="preserve">$4.98</t>
  </si>
  <si>
    <t xml:space="preserve">Free Cash Flow ($mm)</t>
  </si>
  <si>
    <t xml:space="preserve">$44</t>
  </si>
  <si>
    <t xml:space="preserve">$72</t>
  </si>
  <si>
    <t xml:space="preserve">$108</t>
  </si>
  <si>
    <t xml:space="preserve">MODEL INFORMATION</t>
  </si>
  <si>
    <t xml:space="preserve">Analyst:</t>
  </si>
  <si>
    <t xml:space="preserve">Senior Associate, FP&amp;A</t>
  </si>
  <si>
    <t xml:space="preserve">Date:</t>
  </si>
  <si>
    <t xml:space="preserve">March 2026</t>
  </si>
  <si>
    <t xml:space="preserve">Currency:</t>
  </si>
  <si>
    <t xml:space="preserve">USD ($mm unless noted)</t>
  </si>
  <si>
    <t xml:space="preserve">Fiscal Year End:</t>
  </si>
  <si>
    <t xml:space="preserve">December 31</t>
  </si>
  <si>
    <t xml:space="preserve">Projection Period:</t>
  </si>
  <si>
    <t xml:space="preserve">FY2025E – FY2027E</t>
  </si>
  <si>
    <t xml:space="preserve">Color Coding:</t>
  </si>
  <si>
    <t xml:space="preserve">Blue = Input | Black = Formula | Green = Cross-sheet link</t>
  </si>
  <si>
    <t xml:space="preserve">NEXUS TECHNOLOGY CORP — KEY OPERATING ASSUMPTIONS</t>
  </si>
  <si>
    <t xml:space="preserve">REVENUE ASSUMPTIONS</t>
  </si>
  <si>
    <t xml:space="preserve">Assumption</t>
  </si>
  <si>
    <t xml:space="preserve">FY2022A</t>
  </si>
  <si>
    <t xml:space="preserve">FY2023A</t>
  </si>
  <si>
    <t xml:space="preserve">FY2027E</t>
  </si>
  <si>
    <t xml:space="preserve">Subscription Revenue ($mm)</t>
  </si>
  <si>
    <t xml:space="preserve">Professional Services ($mm)</t>
  </si>
  <si>
    <t xml:space="preserve">Maintenance &amp; Support ($mm)</t>
  </si>
  <si>
    <t xml:space="preserve">GROWTH RATES</t>
  </si>
  <si>
    <t xml:space="preserve">Subscription Growth YoY</t>
  </si>
  <si>
    <t xml:space="preserve">N/A</t>
  </si>
  <si>
    <t xml:space="preserve">Prof. Services Growth YoY</t>
  </si>
  <si>
    <t xml:space="preserve">Total Revenue Growth YoY</t>
  </si>
  <si>
    <t xml:space="preserve">MARGIN ASSUMPTIONS</t>
  </si>
  <si>
    <t xml:space="preserve">Gross Margin %</t>
  </si>
  <si>
    <t xml:space="preserve">R&amp;D % of Revenue</t>
  </si>
  <si>
    <t xml:space="preserve">S&amp;M % of Revenue</t>
  </si>
  <si>
    <t xml:space="preserve">G&amp;A % of Revenue</t>
  </si>
  <si>
    <t xml:space="preserve">D&amp;A % of Revenue</t>
  </si>
  <si>
    <t xml:space="preserve">Effective Tax Rate</t>
  </si>
  <si>
    <t xml:space="preserve">BALANCE SHEET &amp; WORKING CAPITAL ASSUMPTIONS</t>
  </si>
  <si>
    <t xml:space="preserve">DSO (Days Sales Outstanding)</t>
  </si>
  <si>
    <t xml:space="preserve">DPO (Days Payable Outstanding)</t>
  </si>
  <si>
    <t xml:space="preserve">Deferred Revenue (% of Rev)</t>
  </si>
  <si>
    <t xml:space="preserve">Capex (% of Revenue)</t>
  </si>
  <si>
    <t xml:space="preserve">NEXUS TECHNOLOGY CORP — INCOME STATEMENT</t>
  </si>
  <si>
    <t xml:space="preserve">All figures in USD millions | Fiscal Year ending December 31</t>
  </si>
  <si>
    <t xml:space="preserve">REVENUE</t>
  </si>
  <si>
    <t xml:space="preserve">Subscription Revenue</t>
  </si>
  <si>
    <t xml:space="preserve">Professional Services</t>
  </si>
  <si>
    <t xml:space="preserve">Maintenance &amp; Support</t>
  </si>
  <si>
    <t xml:space="preserve">Total Revenue</t>
  </si>
  <si>
    <t xml:space="preserve">  YoY Growth %</t>
  </si>
  <si>
    <t xml:space="preserve">COST OF REVENUE &amp; GROSS PROFIT</t>
  </si>
  <si>
    <t xml:space="preserve">Cost of Revenue</t>
  </si>
  <si>
    <t xml:space="preserve">Gross Profit</t>
  </si>
  <si>
    <t xml:space="preserve">  Gross Margin %</t>
  </si>
  <si>
    <t xml:space="preserve">OPERATING EXPENSES</t>
  </si>
  <si>
    <t xml:space="preserve">Research &amp; Development</t>
  </si>
  <si>
    <t xml:space="preserve">Sales &amp; Marketing</t>
  </si>
  <si>
    <t xml:space="preserve">General &amp; Administrative</t>
  </si>
  <si>
    <t xml:space="preserve">Total Operating Expenses</t>
  </si>
  <si>
    <t xml:space="preserve">EBIT (Operating Income)</t>
  </si>
  <si>
    <t xml:space="preserve">  EBIT Margin %</t>
  </si>
  <si>
    <t xml:space="preserve">BELOW THE LINE</t>
  </si>
  <si>
    <t xml:space="preserve">Depreciation &amp; Amortization</t>
  </si>
  <si>
    <t xml:space="preserve">Interest Income / (Expense)</t>
  </si>
  <si>
    <t xml:space="preserve">Other Income / (Expense)</t>
  </si>
  <si>
    <t xml:space="preserve">EBITDA</t>
  </si>
  <si>
    <t xml:space="preserve">  EBITDA Margin %</t>
  </si>
  <si>
    <t xml:space="preserve">Pre-Tax Income (EBT)</t>
  </si>
  <si>
    <t xml:space="preserve">Income Tax Expense</t>
  </si>
  <si>
    <t xml:space="preserve">Net Income</t>
  </si>
  <si>
    <t xml:space="preserve">  Net Margin %</t>
  </si>
  <si>
    <t xml:space="preserve">PER SHARE DATA</t>
  </si>
  <si>
    <t xml:space="preserve">Diluted Shares Outstanding (mm)</t>
  </si>
  <si>
    <t xml:space="preserve">Diluted EPS</t>
  </si>
  <si>
    <t xml:space="preserve">NEXUS TECHNOLOGY CORP — CASH FLOW STATEMENT</t>
  </si>
  <si>
    <t xml:space="preserve">All figures in USD millions | Indirect Method</t>
  </si>
  <si>
    <t xml:space="preserve">OPERATING ACTIVITIES</t>
  </si>
  <si>
    <t xml:space="preserve">Stock-Based Compensation</t>
  </si>
  <si>
    <t xml:space="preserve">Changes in Working Capital:</t>
  </si>
  <si>
    <t xml:space="preserve">  (Increase) / Decrease in AR</t>
  </si>
  <si>
    <t xml:space="preserve">  Increase / (Decrease) in AP</t>
  </si>
  <si>
    <t xml:space="preserve">  Increase / (Decrease) in Deferred Rev</t>
  </si>
  <si>
    <t xml:space="preserve">Cash from Operating Activities</t>
  </si>
  <si>
    <t xml:space="preserve">INVESTING ACTIVITIES</t>
  </si>
  <si>
    <t xml:space="preserve">Capital Expenditures</t>
  </si>
  <si>
    <t xml:space="preserve">Acquisitions &amp; Investments</t>
  </si>
  <si>
    <t xml:space="preserve">Cash from Investing Activities</t>
  </si>
  <si>
    <t xml:space="preserve">FINANCING ACTIVITIES</t>
  </si>
  <si>
    <t xml:space="preserve">Debt Issuance / (Repayment)</t>
  </si>
  <si>
    <t xml:space="preserve">Share Repurchases</t>
  </si>
  <si>
    <t xml:space="preserve">Cash from Financing Activities</t>
  </si>
  <si>
    <t xml:space="preserve">FREE CASH FLOW &amp; LIQUIDITY</t>
  </si>
  <si>
    <t xml:space="preserve">Free Cash Flow (CFO - Capex)</t>
  </si>
  <si>
    <t xml:space="preserve">  FCF Margin %</t>
  </si>
  <si>
    <t xml:space="preserve">Net Change in Cash</t>
  </si>
  <si>
    <t xml:space="preserve">Beginning Cash Balance</t>
  </si>
  <si>
    <t xml:space="preserve">Ending Cash Balance</t>
  </si>
  <si>
    <t xml:space="preserve">NEXUS TECHNOLOGY CORP — BALANCE SHEET</t>
  </si>
  <si>
    <t xml:space="preserve">ASSETS</t>
  </si>
  <si>
    <t xml:space="preserve">Cash &amp; Cash Equivalents</t>
  </si>
  <si>
    <t xml:space="preserve">Accounts Receivable</t>
  </si>
  <si>
    <t xml:space="preserve">Prepaid Expenses &amp; Other</t>
  </si>
  <si>
    <t xml:space="preserve">Total Current Assets</t>
  </si>
  <si>
    <t xml:space="preserve">Property, Plant &amp; Equipment (net)</t>
  </si>
  <si>
    <t xml:space="preserve">Intangible Assets &amp; Goodwill</t>
  </si>
  <si>
    <t xml:space="preserve">Other Long-Term Assets</t>
  </si>
  <si>
    <t xml:space="preserve">Total Non-Current Assets</t>
  </si>
  <si>
    <t xml:space="preserve">TOTAL ASSETS</t>
  </si>
  <si>
    <t xml:space="preserve">LIABILITIES &amp; SHAREHOLDERS' EQUITY</t>
  </si>
  <si>
    <t xml:space="preserve">Accounts Payable</t>
  </si>
  <si>
    <t xml:space="preserve">Deferred Revenue (current)</t>
  </si>
  <si>
    <t xml:space="preserve">Accrued Liabilities</t>
  </si>
  <si>
    <t xml:space="preserve">Total Current Liabilities</t>
  </si>
  <si>
    <t xml:space="preserve">Long-Term Debt</t>
  </si>
  <si>
    <t xml:space="preserve">Deferred Revenue (non-current)</t>
  </si>
  <si>
    <t xml:space="preserve">Other Long-Term Liabilities</t>
  </si>
  <si>
    <t xml:space="preserve">Total Long-Term Liabilities</t>
  </si>
  <si>
    <t xml:space="preserve">TOTAL LIABILITIES</t>
  </si>
  <si>
    <t xml:space="preserve">Common Stock &amp; APIC</t>
  </si>
  <si>
    <t xml:space="preserve">Retained Earnings</t>
  </si>
  <si>
    <t xml:space="preserve">Treasury Stock</t>
  </si>
  <si>
    <t xml:space="preserve">Total Shareholders' Equity</t>
  </si>
  <si>
    <t xml:space="preserve">TOTAL LIABILITIES &amp; EQUITY</t>
  </si>
  <si>
    <t xml:space="preserve">Balance Check (Assets = Liabilities + Equity)</t>
  </si>
  <si>
    <t xml:space="preserve">SENSITIVITY ANALYSIS — FY2027E SCENARIOS</t>
  </si>
  <si>
    <t xml:space="preserve">Two-variable sensitivity: Revenue Growth Rate vs. EBITDA Margin | FY2027E EBITDA ($mm)</t>
  </si>
  <si>
    <t xml:space="preserve">EBITDA SENSITIVITY: REVENUE GROWTH vs. EBITDA MARGIN (FY2027E, $mm)</t>
  </si>
  <si>
    <t xml:space="preserve">Rev Growth \ EBITDA Margin</t>
  </si>
  <si>
    <t xml:space="preserve">Color Legend:</t>
  </si>
  <si>
    <t xml:space="preserve">&gt; $160mm (Bull Case)</t>
  </si>
  <si>
    <t xml:space="preserve">$130-160mm (Base+)</t>
  </si>
  <si>
    <t xml:space="preserve">$100-130mm (Base)</t>
  </si>
  <si>
    <t xml:space="preserve">$80-100mm (Bear+)</t>
  </si>
  <si>
    <t xml:space="preserve">&lt; $80mm (Bear)</t>
  </si>
  <si>
    <t xml:space="preserve">SCENARIO ANALYSIS — KEY METRICS BRIDGE</t>
  </si>
  <si>
    <t xml:space="preserve">Bear Case</t>
  </si>
  <si>
    <t xml:space="preserve">Base Case</t>
  </si>
  <si>
    <t xml:space="preserve">Bull Case</t>
  </si>
  <si>
    <t xml:space="preserve">Revenue Growth (CAGR)</t>
  </si>
  <si>
    <t xml:space="preserve">18.0%</t>
  </si>
  <si>
    <t xml:space="preserve">30.0%</t>
  </si>
  <si>
    <t xml:space="preserve">66.0%</t>
  </si>
  <si>
    <t xml:space="preserve">76.0%</t>
  </si>
  <si>
    <t xml:space="preserve">20.0%</t>
  </si>
  <si>
    <t xml:space="preserve">33.0%</t>
  </si>
  <si>
    <t xml:space="preserve">FY2027E Revenue ($mm)</t>
  </si>
  <si>
    <t xml:space="preserve">$392</t>
  </si>
  <si>
    <t xml:space="preserve">$573</t>
  </si>
  <si>
    <t xml:space="preserve">FY2027E EBITDA ($mm)</t>
  </si>
  <si>
    <t xml:space="preserve">$189</t>
  </si>
  <si>
    <t xml:space="preserve">EV/EBITDA Multiple</t>
  </si>
  <si>
    <t xml:space="preserve">18.0x</t>
  </si>
  <si>
    <t xml:space="preserve">24.0x</t>
  </si>
  <si>
    <t xml:space="preserve">30.0x</t>
  </si>
  <si>
    <t xml:space="preserve">Implied Enterprise Value ($mm)</t>
  </si>
  <si>
    <t xml:space="preserve">$1,410</t>
  </si>
  <si>
    <t xml:space="preserve">$3,114</t>
  </si>
  <si>
    <t xml:space="preserve">$5,677</t>
  </si>
  <si>
    <t xml:space="preserve">Implied Share Price</t>
  </si>
  <si>
    <t xml:space="preserve">$82</t>
  </si>
  <si>
    <t xml:space="preserve">$348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</si>
</sst>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"/>
    <numFmt numFmtId="166" formatCode="0.0%"/>
    <numFmt numFmtId="167" formatCode="0"/>
    <numFmt numFmtId="168" formatCode="\$#,##0.0;&quot;($&quot;#,##0.0\);\-"/>
    <numFmt numFmtId="169" formatCode="\$#,##0.00;&quot;($&quot;#,##0.00\);\-"/>
    <numFmt numFmtId="170" formatCode="0%"/>
    <numFmt numFmtId="171" formatCode="\$#,##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sz val="12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FF0000"/>
      <name val="Arial"/>
      <family val="0"/>
      <charset val="1"/>
    </font>
    <font>
      <sz val="9"/>
      <color rgb="FF00B05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3B1F64"/>
        <bgColor rgb="FF333399"/>
      </patternFill>
    </fill>
    <fill>
      <patternFill patternType="solid">
        <fgColor rgb="FF7B4FB6"/>
        <bgColor rgb="FF595959"/>
      </patternFill>
    </fill>
    <fill>
      <patternFill patternType="solid">
        <fgColor rgb="FFF2F2F2"/>
        <bgColor rgb="FFEDE4F8"/>
      </patternFill>
    </fill>
    <fill>
      <patternFill patternType="solid">
        <fgColor rgb="FFFFFFFF"/>
        <bgColor rgb="FFF2F2F2"/>
      </patternFill>
    </fill>
    <fill>
      <patternFill patternType="solid">
        <fgColor rgb="FFC9B8E8"/>
        <bgColor rgb="FFCC99FF"/>
      </patternFill>
    </fill>
    <fill>
      <patternFill patternType="solid">
        <fgColor rgb="FFEDE4F8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69696"/>
      </patternFill>
    </fill>
    <fill>
      <patternFill patternType="solid">
        <fgColor rgb="FF00B050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B8E8"/>
      <rgbColor rgb="FF595959"/>
      <rgbColor rgb="FF9999FF"/>
      <rgbColor rgb="FF993366"/>
      <rgbColor rgb="FFF2F2F2"/>
      <rgbColor rgb="FFCCFFFF"/>
      <rgbColor rgb="FF660066"/>
      <rgbColor rgb="FFFF8080"/>
      <rgbColor rgb="FF0066CC"/>
      <rgbColor rgb="FFEDE4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7B4FB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B1F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5" min="3" style="1" width="20"/>
    <col collapsed="false" customWidth="true" hidden="false" outlineLevel="0" max="6" min="6" style="1" width="3"/>
  </cols>
  <sheetData>
    <row r="1" customFormat="false" ht="18" hidden="false" customHeight="true" outlineLevel="0" collapsed="false"/>
    <row r="2" customFormat="false" ht="18" hidden="false" customHeight="true" outlineLevel="0" collapsed="false">
      <c r="B2" s="2" t="s">
        <v>0</v>
      </c>
      <c r="C2" s="2"/>
      <c r="D2" s="2"/>
      <c r="E2" s="2"/>
    </row>
    <row r="3" customFormat="false" ht="18" hidden="false" customHeight="true" outlineLevel="0" collapsed="false">
      <c r="B3" s="2"/>
      <c r="C3" s="2"/>
      <c r="D3" s="2"/>
      <c r="E3" s="2"/>
    </row>
    <row r="4" customFormat="false" ht="18" hidden="false" customHeight="true" outlineLevel="0" collapsed="false">
      <c r="B4" s="3" t="s">
        <v>1</v>
      </c>
      <c r="C4" s="3"/>
      <c r="D4" s="3"/>
      <c r="E4" s="3"/>
    </row>
    <row r="5" customFormat="false" ht="18" hidden="false" customHeight="true" outlineLevel="0" collapsed="false">
      <c r="B5" s="4" t="s">
        <v>2</v>
      </c>
      <c r="C5" s="4"/>
      <c r="D5" s="4"/>
      <c r="E5" s="4"/>
    </row>
    <row r="6" customFormat="false" ht="18" hidden="false" customHeight="true" outlineLevel="0" collapsed="false">
      <c r="B6" s="5"/>
      <c r="C6" s="5"/>
      <c r="D6" s="5"/>
      <c r="E6" s="5"/>
    </row>
    <row r="7" customFormat="false" ht="18" hidden="false" customHeight="true" outlineLevel="0" collapsed="false"/>
    <row r="8" customFormat="false" ht="18" hidden="false" customHeight="true" outlineLevel="0" collapsed="false">
      <c r="B8" s="6" t="s">
        <v>3</v>
      </c>
      <c r="C8" s="6"/>
      <c r="D8" s="6"/>
      <c r="E8" s="6"/>
    </row>
    <row r="9" customFormat="false" ht="18" hidden="false" customHeight="true" outlineLevel="0" collapsed="false">
      <c r="B9" s="7" t="s">
        <v>4</v>
      </c>
      <c r="C9" s="7" t="s">
        <v>5</v>
      </c>
      <c r="D9" s="7" t="s">
        <v>6</v>
      </c>
      <c r="E9" s="7" t="s">
        <v>7</v>
      </c>
    </row>
    <row r="10" customFormat="false" ht="18" hidden="false" customHeight="true" outlineLevel="0" collapsed="false">
      <c r="B10" s="8" t="s">
        <v>8</v>
      </c>
      <c r="C10" s="9" t="s">
        <v>9</v>
      </c>
      <c r="D10" s="9" t="s">
        <v>10</v>
      </c>
      <c r="E10" s="9" t="s">
        <v>11</v>
      </c>
    </row>
    <row r="11" customFormat="false" ht="18" hidden="false" customHeight="true" outlineLevel="0" collapsed="false">
      <c r="B11" s="10" t="s">
        <v>12</v>
      </c>
      <c r="C11" s="11" t="s">
        <v>13</v>
      </c>
      <c r="D11" s="11" t="s">
        <v>14</v>
      </c>
      <c r="E11" s="11" t="s">
        <v>15</v>
      </c>
    </row>
    <row r="12" customFormat="false" ht="18" hidden="false" customHeight="true" outlineLevel="0" collapsed="false">
      <c r="B12" s="8" t="s">
        <v>16</v>
      </c>
      <c r="C12" s="9" t="s">
        <v>17</v>
      </c>
      <c r="D12" s="9" t="s">
        <v>18</v>
      </c>
      <c r="E12" s="9" t="s">
        <v>19</v>
      </c>
    </row>
    <row r="13" customFormat="false" ht="18" hidden="false" customHeight="true" outlineLevel="0" collapsed="false">
      <c r="B13" s="10" t="s">
        <v>20</v>
      </c>
      <c r="C13" s="11" t="s">
        <v>21</v>
      </c>
      <c r="D13" s="11" t="s">
        <v>22</v>
      </c>
      <c r="E13" s="11" t="s">
        <v>23</v>
      </c>
    </row>
    <row r="14" customFormat="false" ht="18" hidden="false" customHeight="true" outlineLevel="0" collapsed="false">
      <c r="B14" s="8" t="s">
        <v>24</v>
      </c>
      <c r="C14" s="9" t="s">
        <v>25</v>
      </c>
      <c r="D14" s="9" t="s">
        <v>26</v>
      </c>
      <c r="E14" s="9" t="s">
        <v>27</v>
      </c>
    </row>
    <row r="15" customFormat="false" ht="18" hidden="false" customHeight="true" outlineLevel="0" collapsed="false">
      <c r="B15" s="10" t="s">
        <v>28</v>
      </c>
      <c r="C15" s="11" t="s">
        <v>29</v>
      </c>
      <c r="D15" s="11" t="s">
        <v>30</v>
      </c>
      <c r="E15" s="11" t="s">
        <v>31</v>
      </c>
    </row>
    <row r="16" customFormat="false" ht="18" hidden="false" customHeight="true" outlineLevel="0" collapsed="false">
      <c r="B16" s="8" t="s">
        <v>32</v>
      </c>
      <c r="C16" s="9" t="s">
        <v>33</v>
      </c>
      <c r="D16" s="9" t="s">
        <v>34</v>
      </c>
      <c r="E16" s="9" t="s">
        <v>35</v>
      </c>
    </row>
    <row r="17" customFormat="false" ht="18" hidden="false" customHeight="true" outlineLevel="0" collapsed="false">
      <c r="B17" s="10" t="s">
        <v>36</v>
      </c>
      <c r="C17" s="11" t="s">
        <v>37</v>
      </c>
      <c r="D17" s="11" t="s">
        <v>38</v>
      </c>
      <c r="E17" s="11" t="s">
        <v>39</v>
      </c>
    </row>
    <row r="18" customFormat="false" ht="18" hidden="false" customHeight="true" outlineLevel="0" collapsed="false"/>
    <row r="19" customFormat="false" ht="18" hidden="false" customHeight="true" outlineLevel="0" collapsed="false"/>
    <row r="20" customFormat="false" ht="18" hidden="false" customHeight="true" outlineLevel="0" collapsed="false">
      <c r="B20" s="6" t="s">
        <v>40</v>
      </c>
      <c r="C20" s="6"/>
      <c r="D20" s="6"/>
      <c r="E20" s="6"/>
    </row>
    <row r="21" customFormat="false" ht="18" hidden="false" customHeight="true" outlineLevel="0" collapsed="false">
      <c r="B21" s="12" t="s">
        <v>41</v>
      </c>
      <c r="C21" s="13" t="s">
        <v>42</v>
      </c>
      <c r="D21" s="13"/>
      <c r="E21" s="13"/>
    </row>
    <row r="22" customFormat="false" ht="18" hidden="false" customHeight="true" outlineLevel="0" collapsed="false">
      <c r="B22" s="12" t="s">
        <v>43</v>
      </c>
      <c r="C22" s="13" t="s">
        <v>44</v>
      </c>
      <c r="D22" s="13"/>
      <c r="E22" s="13"/>
    </row>
    <row r="23" customFormat="false" ht="18" hidden="false" customHeight="true" outlineLevel="0" collapsed="false">
      <c r="B23" s="12" t="s">
        <v>45</v>
      </c>
      <c r="C23" s="13" t="s">
        <v>46</v>
      </c>
      <c r="D23" s="13"/>
      <c r="E23" s="13"/>
    </row>
    <row r="24" customFormat="false" ht="18" hidden="false" customHeight="true" outlineLevel="0" collapsed="false">
      <c r="B24" s="12" t="s">
        <v>47</v>
      </c>
      <c r="C24" s="13" t="s">
        <v>48</v>
      </c>
      <c r="D24" s="13"/>
      <c r="E24" s="13"/>
    </row>
    <row r="25" customFormat="false" ht="18" hidden="false" customHeight="true" outlineLevel="0" collapsed="false">
      <c r="B25" s="12" t="s">
        <v>49</v>
      </c>
      <c r="C25" s="13" t="s">
        <v>50</v>
      </c>
      <c r="D25" s="13"/>
      <c r="E25" s="13"/>
    </row>
    <row r="26" customFormat="false" ht="18" hidden="false" customHeight="true" outlineLevel="0" collapsed="false">
      <c r="B26" s="12" t="s">
        <v>51</v>
      </c>
      <c r="C26" s="13" t="s">
        <v>52</v>
      </c>
      <c r="D26" s="13"/>
      <c r="E26" s="13"/>
    </row>
    <row r="27" customFormat="false" ht="18" hidden="false" customHeight="true" outlineLevel="0" collapsed="false"/>
    <row r="28" customFormat="false" ht="18" hidden="false" customHeight="true" outlineLevel="0" collapsed="false"/>
    <row r="29" customFormat="false" ht="18" hidden="false" customHeight="true" outlineLevel="0" collapsed="false"/>
    <row r="30" customFormat="false" ht="18" hidden="false" customHeight="true" outlineLevel="0" collapsed="false"/>
    <row r="31" customFormat="false" ht="18" hidden="false" customHeight="true" outlineLevel="0" collapsed="false"/>
    <row r="32" customFormat="false" ht="18" hidden="false" customHeight="true" outlineLevel="0" collapsed="false"/>
    <row r="33" customFormat="false" ht="18" hidden="false" customHeight="true" outlineLevel="0" collapsed="false"/>
    <row r="34" customFormat="false" ht="18" hidden="false" customHeight="true" outlineLevel="0" collapsed="false"/>
    <row r="35" customFormat="false" ht="18" hidden="false" customHeight="true" outlineLevel="0" collapsed="false"/>
    <row r="36" customFormat="false" ht="18" hidden="false" customHeight="true" outlineLevel="0" collapsed="false"/>
    <row r="37" customFormat="false" ht="18" hidden="false" customHeight="true" outlineLevel="0" collapsed="false"/>
    <row r="38" customFormat="false" ht="18" hidden="false" customHeight="true" outlineLevel="0" collapsed="false"/>
    <row r="39" customFormat="false" ht="18" hidden="false" customHeight="true" outlineLevel="0" collapsed="false"/>
  </sheetData>
  <mergeCells count="11">
    <mergeCell ref="B2:E3"/>
    <mergeCell ref="B4:E4"/>
    <mergeCell ref="B5:E5"/>
    <mergeCell ref="B8:E8"/>
    <mergeCell ref="B20:E20"/>
    <mergeCell ref="C21:E21"/>
    <mergeCell ref="C22:E22"/>
    <mergeCell ref="C23:E23"/>
    <mergeCell ref="C24:E24"/>
    <mergeCell ref="C25:E25"/>
    <mergeCell ref="C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5"/>
    <col collapsed="false" customWidth="true" hidden="false" outlineLevel="0" max="8" min="3" style="1" width="12"/>
  </cols>
  <sheetData>
    <row r="1" customFormat="false" ht="21.75" hidden="false" customHeight="true" outlineLevel="0" collapsed="false">
      <c r="B1" s="14" t="s">
        <v>53</v>
      </c>
      <c r="C1" s="14"/>
      <c r="D1" s="14"/>
      <c r="E1" s="14"/>
      <c r="F1" s="14"/>
      <c r="G1" s="14"/>
      <c r="H1" s="14"/>
    </row>
    <row r="3" customFormat="false" ht="15.75" hidden="false" customHeight="true" outlineLevel="0" collapsed="false">
      <c r="B3" s="15" t="s">
        <v>54</v>
      </c>
      <c r="C3" s="15"/>
      <c r="D3" s="15"/>
      <c r="E3" s="15"/>
      <c r="F3" s="15"/>
      <c r="G3" s="15"/>
      <c r="H3" s="15"/>
    </row>
    <row r="4" customFormat="false" ht="15" hidden="false" customHeight="true" outlineLevel="0" collapsed="false">
      <c r="B4" s="16" t="s">
        <v>55</v>
      </c>
      <c r="C4" s="7" t="s">
        <v>56</v>
      </c>
      <c r="D4" s="7" t="s">
        <v>57</v>
      </c>
      <c r="E4" s="7" t="s">
        <v>5</v>
      </c>
      <c r="F4" s="7" t="s">
        <v>6</v>
      </c>
      <c r="G4" s="7" t="s">
        <v>7</v>
      </c>
      <c r="H4" s="7" t="s">
        <v>58</v>
      </c>
    </row>
    <row r="5" customFormat="false" ht="15" hidden="false" customHeight="true" outlineLevel="0" collapsed="false">
      <c r="B5" s="17" t="s">
        <v>59</v>
      </c>
      <c r="C5" s="18" t="n">
        <v>150.2</v>
      </c>
      <c r="D5" s="18" t="n">
        <v>187.4</v>
      </c>
      <c r="E5" s="18" t="n">
        <v>233.8</v>
      </c>
      <c r="F5" s="19" t="n">
        <f aca="false">E5*1.24</f>
        <v>289.912</v>
      </c>
      <c r="G5" s="19" t="n">
        <f aca="false">F5*1.238</f>
        <v>358.911056</v>
      </c>
      <c r="H5" s="19" t="n">
        <f aca="false">G5*1.235</f>
        <v>443.25515416</v>
      </c>
    </row>
    <row r="6" customFormat="false" ht="15" hidden="false" customHeight="true" outlineLevel="0" collapsed="false">
      <c r="B6" s="20" t="s">
        <v>60</v>
      </c>
      <c r="C6" s="21" t="n">
        <v>28.4</v>
      </c>
      <c r="D6" s="21" t="n">
        <v>33.1</v>
      </c>
      <c r="E6" s="21" t="n">
        <v>38.6</v>
      </c>
      <c r="F6" s="22" t="n">
        <f aca="false">E6*1.18</f>
        <v>45.548</v>
      </c>
      <c r="G6" s="22" t="n">
        <f aca="false">F6*1.16</f>
        <v>52.83568</v>
      </c>
      <c r="H6" s="22" t="n">
        <f aca="false">G6*1.14</f>
        <v>60.2326752</v>
      </c>
    </row>
    <row r="7" customFormat="false" ht="15" hidden="false" customHeight="true" outlineLevel="0" collapsed="false">
      <c r="B7" s="17" t="s">
        <v>61</v>
      </c>
      <c r="C7" s="18" t="n">
        <v>42.1</v>
      </c>
      <c r="D7" s="18" t="n">
        <v>49.6</v>
      </c>
      <c r="E7" s="18" t="n">
        <v>39.6</v>
      </c>
      <c r="F7" s="19" t="n">
        <f aca="false">E7*1.05</f>
        <v>41.58</v>
      </c>
      <c r="G7" s="19" t="n">
        <f aca="false">F7*1.05</f>
        <v>43.659</v>
      </c>
      <c r="H7" s="19" t="n">
        <f aca="false">G7*1.05</f>
        <v>45.84195</v>
      </c>
    </row>
    <row r="9" customFormat="false" ht="15.75" hidden="false" customHeight="true" outlineLevel="0" collapsed="false">
      <c r="B9" s="15" t="s">
        <v>62</v>
      </c>
      <c r="C9" s="15"/>
      <c r="D9" s="15"/>
      <c r="E9" s="15"/>
      <c r="F9" s="15"/>
      <c r="G9" s="15"/>
      <c r="H9" s="15"/>
    </row>
    <row r="10" customFormat="false" ht="15" hidden="false" customHeight="true" outlineLevel="0" collapsed="false">
      <c r="B10" s="16" t="s">
        <v>55</v>
      </c>
      <c r="C10" s="7" t="s">
        <v>56</v>
      </c>
      <c r="D10" s="7" t="s">
        <v>57</v>
      </c>
      <c r="E10" s="7" t="s">
        <v>5</v>
      </c>
      <c r="F10" s="7" t="s">
        <v>6</v>
      </c>
      <c r="G10" s="7" t="s">
        <v>7</v>
      </c>
      <c r="H10" s="7" t="s">
        <v>58</v>
      </c>
    </row>
    <row r="11" customFormat="false" ht="15" hidden="false" customHeight="true" outlineLevel="0" collapsed="false">
      <c r="B11" s="17" t="s">
        <v>63</v>
      </c>
      <c r="C11" s="23" t="s">
        <v>64</v>
      </c>
      <c r="D11" s="24" t="n">
        <f aca="false">(D5-C5)/C5</f>
        <v>0.247669773635153</v>
      </c>
      <c r="E11" s="24" t="n">
        <f aca="false">(E5-D5)/D5</f>
        <v>0.247598719316969</v>
      </c>
      <c r="F11" s="25" t="n">
        <v>0.24</v>
      </c>
      <c r="G11" s="25" t="n">
        <v>0.238</v>
      </c>
      <c r="H11" s="25" t="n">
        <v>0.235</v>
      </c>
    </row>
    <row r="12" customFormat="false" ht="15" hidden="false" customHeight="true" outlineLevel="0" collapsed="false">
      <c r="B12" s="20" t="s">
        <v>65</v>
      </c>
      <c r="C12" s="26" t="s">
        <v>64</v>
      </c>
      <c r="D12" s="27" t="n">
        <f aca="false">(D6-C6)/C6</f>
        <v>0.165492957746479</v>
      </c>
      <c r="E12" s="27" t="n">
        <f aca="false">(E6-D6)/D6</f>
        <v>0.166163141993958</v>
      </c>
      <c r="F12" s="28" t="n">
        <v>0.18</v>
      </c>
      <c r="G12" s="28" t="n">
        <v>0.16</v>
      </c>
      <c r="H12" s="28" t="n">
        <v>0.14</v>
      </c>
    </row>
    <row r="13" customFormat="false" ht="15" hidden="false" customHeight="true" outlineLevel="0" collapsed="false">
      <c r="B13" s="17" t="s">
        <v>66</v>
      </c>
      <c r="C13" s="23" t="s">
        <v>64</v>
      </c>
      <c r="D13" s="24" t="n">
        <f aca="false">(D14-C14)/C14</f>
        <v>0.22383325781604</v>
      </c>
      <c r="E13" s="24" t="n">
        <f aca="false">(E14-D14)/D14</f>
        <v>0.155127730470196</v>
      </c>
      <c r="F13" s="24" t="n">
        <f aca="false">(F14-E14)/E14</f>
        <v>0.208461538461538</v>
      </c>
      <c r="G13" s="24" t="n">
        <f aca="false">(G14-F14)/F14</f>
        <v>0.207844621260344</v>
      </c>
      <c r="H13" s="24" t="n">
        <f aca="false">(H14-G14)/G14</f>
        <v>0.206242556769202</v>
      </c>
    </row>
    <row r="14" customFormat="false" ht="15" hidden="false" customHeight="true" outlineLevel="0" collapsed="false">
      <c r="C14" s="29" t="n">
        <f aca="false">C5+C6+C7</f>
        <v>220.7</v>
      </c>
      <c r="D14" s="29" t="n">
        <f aca="false">D5+D6+D7</f>
        <v>270.1</v>
      </c>
      <c r="E14" s="29" t="n">
        <f aca="false">E5+E6+E7</f>
        <v>312</v>
      </c>
      <c r="F14" s="29" t="n">
        <f aca="false">F5+F6+F7</f>
        <v>377.04</v>
      </c>
      <c r="G14" s="29" t="n">
        <f aca="false">G5+G6+G7</f>
        <v>455.405736</v>
      </c>
      <c r="H14" s="29" t="n">
        <f aca="false">H5+H6+H7</f>
        <v>549.32977936</v>
      </c>
    </row>
    <row r="15" customFormat="false" ht="15.75" hidden="false" customHeight="true" outlineLevel="0" collapsed="false">
      <c r="B15" s="15" t="s">
        <v>67</v>
      </c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B16" s="16" t="s">
        <v>55</v>
      </c>
      <c r="C16" s="7" t="s">
        <v>56</v>
      </c>
      <c r="D16" s="7" t="s">
        <v>57</v>
      </c>
      <c r="E16" s="7" t="s">
        <v>5</v>
      </c>
      <c r="F16" s="7" t="s">
        <v>6</v>
      </c>
      <c r="G16" s="7" t="s">
        <v>7</v>
      </c>
      <c r="H16" s="7" t="s">
        <v>58</v>
      </c>
    </row>
    <row r="17" customFormat="false" ht="15" hidden="false" customHeight="true" outlineLevel="0" collapsed="false">
      <c r="B17" s="17" t="s">
        <v>68</v>
      </c>
      <c r="C17" s="25" t="n">
        <v>0.643</v>
      </c>
      <c r="D17" s="25" t="n">
        <v>0.664</v>
      </c>
      <c r="E17" s="25" t="n">
        <v>0.684</v>
      </c>
      <c r="F17" s="25" t="n">
        <v>0.701</v>
      </c>
      <c r="G17" s="25" t="n">
        <v>0.718</v>
      </c>
      <c r="H17" s="25" t="n">
        <v>0.732</v>
      </c>
    </row>
    <row r="18" customFormat="false" ht="15" hidden="false" customHeight="true" outlineLevel="0" collapsed="false">
      <c r="B18" s="20" t="s">
        <v>69</v>
      </c>
      <c r="C18" s="28" t="n">
        <v>0.182</v>
      </c>
      <c r="D18" s="28" t="n">
        <v>0.174</v>
      </c>
      <c r="E18" s="28" t="n">
        <v>0.168</v>
      </c>
      <c r="F18" s="28" t="n">
        <v>0.162</v>
      </c>
      <c r="G18" s="28" t="n">
        <v>0.155</v>
      </c>
      <c r="H18" s="28" t="n">
        <v>0.148</v>
      </c>
    </row>
    <row r="19" customFormat="false" ht="15" hidden="false" customHeight="true" outlineLevel="0" collapsed="false">
      <c r="B19" s="17" t="s">
        <v>70</v>
      </c>
      <c r="C19" s="25" t="n">
        <v>0.241</v>
      </c>
      <c r="D19" s="25" t="n">
        <v>0.228</v>
      </c>
      <c r="E19" s="25" t="n">
        <v>0.218</v>
      </c>
      <c r="F19" s="25" t="n">
        <v>0.208</v>
      </c>
      <c r="G19" s="25" t="n">
        <v>0.198</v>
      </c>
      <c r="H19" s="25" t="n">
        <v>0.188</v>
      </c>
    </row>
    <row r="20" customFormat="false" ht="15" hidden="false" customHeight="true" outlineLevel="0" collapsed="false">
      <c r="B20" s="20" t="s">
        <v>71</v>
      </c>
      <c r="C20" s="28" t="n">
        <v>0.092</v>
      </c>
      <c r="D20" s="28" t="n">
        <v>0.088</v>
      </c>
      <c r="E20" s="28" t="n">
        <v>0.082</v>
      </c>
      <c r="F20" s="28" t="n">
        <v>0.078</v>
      </c>
      <c r="G20" s="28" t="n">
        <v>0.074</v>
      </c>
      <c r="H20" s="28" t="n">
        <v>0.071</v>
      </c>
    </row>
    <row r="21" customFormat="false" ht="15" hidden="false" customHeight="true" outlineLevel="0" collapsed="false">
      <c r="B21" s="17" t="s">
        <v>72</v>
      </c>
      <c r="C21" s="25" t="n">
        <v>0.038</v>
      </c>
      <c r="D21" s="25" t="n">
        <v>0.035</v>
      </c>
      <c r="E21" s="25" t="n">
        <v>0.032</v>
      </c>
      <c r="F21" s="25" t="n">
        <v>0.031</v>
      </c>
      <c r="G21" s="25" t="n">
        <v>0.03</v>
      </c>
      <c r="H21" s="25" t="n">
        <v>0.029</v>
      </c>
    </row>
    <row r="22" customFormat="false" ht="15" hidden="false" customHeight="true" outlineLevel="0" collapsed="false">
      <c r="B22" s="20" t="s">
        <v>73</v>
      </c>
      <c r="C22" s="28" t="n">
        <v>0.215</v>
      </c>
      <c r="D22" s="28" t="n">
        <v>0.218</v>
      </c>
      <c r="E22" s="28" t="n">
        <v>0.22</v>
      </c>
      <c r="F22" s="28" t="n">
        <v>0.22</v>
      </c>
      <c r="G22" s="28" t="n">
        <v>0.22</v>
      </c>
      <c r="H22" s="28" t="n">
        <v>0.22</v>
      </c>
    </row>
    <row r="24" customFormat="false" ht="15.75" hidden="false" customHeight="true" outlineLevel="0" collapsed="false">
      <c r="B24" s="15" t="s">
        <v>74</v>
      </c>
      <c r="C24" s="15"/>
      <c r="D24" s="15"/>
      <c r="E24" s="15"/>
      <c r="F24" s="15"/>
      <c r="G24" s="15"/>
      <c r="H24" s="15"/>
    </row>
    <row r="25" customFormat="false" ht="15" hidden="false" customHeight="true" outlineLevel="0" collapsed="false">
      <c r="B25" s="16" t="s">
        <v>55</v>
      </c>
      <c r="C25" s="7" t="s">
        <v>56</v>
      </c>
      <c r="D25" s="7" t="s">
        <v>57</v>
      </c>
      <c r="E25" s="7" t="s">
        <v>5</v>
      </c>
      <c r="F25" s="7" t="s">
        <v>6</v>
      </c>
      <c r="G25" s="7" t="s">
        <v>7</v>
      </c>
      <c r="H25" s="7" t="s">
        <v>58</v>
      </c>
    </row>
    <row r="26" customFormat="false" ht="15" hidden="false" customHeight="true" outlineLevel="0" collapsed="false">
      <c r="B26" s="17" t="s">
        <v>75</v>
      </c>
      <c r="C26" s="30" t="n">
        <v>42</v>
      </c>
      <c r="D26" s="30" t="n">
        <v>41</v>
      </c>
      <c r="E26" s="30" t="n">
        <v>40</v>
      </c>
      <c r="F26" s="30" t="n">
        <v>39</v>
      </c>
      <c r="G26" s="30" t="n">
        <v>38</v>
      </c>
      <c r="H26" s="30" t="n">
        <v>37</v>
      </c>
    </row>
    <row r="27" customFormat="false" ht="15" hidden="false" customHeight="true" outlineLevel="0" collapsed="false">
      <c r="B27" s="20" t="s">
        <v>76</v>
      </c>
      <c r="C27" s="31" t="n">
        <v>32</v>
      </c>
      <c r="D27" s="31" t="n">
        <v>33</v>
      </c>
      <c r="E27" s="31" t="n">
        <v>34</v>
      </c>
      <c r="F27" s="31" t="n">
        <v>35</v>
      </c>
      <c r="G27" s="31" t="n">
        <v>36</v>
      </c>
      <c r="H27" s="31" t="n">
        <v>37</v>
      </c>
    </row>
    <row r="28" customFormat="false" ht="15" hidden="false" customHeight="true" outlineLevel="0" collapsed="false">
      <c r="B28" s="17" t="s">
        <v>77</v>
      </c>
      <c r="C28" s="25" t="n">
        <v>0.182</v>
      </c>
      <c r="D28" s="25" t="n">
        <v>0.185</v>
      </c>
      <c r="E28" s="25" t="n">
        <v>0.188</v>
      </c>
      <c r="F28" s="25" t="n">
        <v>0.19</v>
      </c>
      <c r="G28" s="25" t="n">
        <v>0.192</v>
      </c>
      <c r="H28" s="25" t="n">
        <v>0.193</v>
      </c>
    </row>
    <row r="29" customFormat="false" ht="15" hidden="false" customHeight="true" outlineLevel="0" collapsed="false">
      <c r="B29" s="20" t="s">
        <v>78</v>
      </c>
      <c r="C29" s="28" t="n">
        <v>0.045</v>
      </c>
      <c r="D29" s="28" t="n">
        <v>0.042</v>
      </c>
      <c r="E29" s="28" t="n">
        <v>0.038</v>
      </c>
      <c r="F29" s="28" t="n">
        <v>0.036</v>
      </c>
      <c r="G29" s="28" t="n">
        <v>0.034</v>
      </c>
      <c r="H29" s="28" t="n">
        <v>0.032</v>
      </c>
    </row>
  </sheetData>
  <mergeCells count="5">
    <mergeCell ref="B1:H1"/>
    <mergeCell ref="B3:H3"/>
    <mergeCell ref="B9:H9"/>
    <mergeCell ref="B15:H15"/>
    <mergeCell ref="B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8" min="3" style="1" width="12"/>
  </cols>
  <sheetData>
    <row r="1" customFormat="false" ht="21.75" hidden="false" customHeight="true" outlineLevel="0" collapsed="false">
      <c r="B1" s="14" t="s">
        <v>79</v>
      </c>
      <c r="C1" s="14"/>
      <c r="D1" s="14"/>
      <c r="E1" s="14"/>
      <c r="F1" s="14"/>
      <c r="G1" s="14"/>
      <c r="H1" s="14"/>
    </row>
    <row r="2" customFormat="false" ht="15" hidden="false" customHeight="true" outlineLevel="0" collapsed="false">
      <c r="B2" s="32" t="s">
        <v>80</v>
      </c>
      <c r="C2" s="32"/>
      <c r="D2" s="32"/>
      <c r="E2" s="32"/>
      <c r="F2" s="32"/>
      <c r="G2" s="32"/>
      <c r="H2" s="32"/>
    </row>
    <row r="4" customFormat="false" ht="15.75" hidden="false" customHeight="true" outlineLevel="0" collapsed="false">
      <c r="B4" s="15" t="s">
        <v>81</v>
      </c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B5" s="16" t="s">
        <v>55</v>
      </c>
      <c r="C5" s="7" t="s">
        <v>56</v>
      </c>
      <c r="D5" s="7" t="s">
        <v>57</v>
      </c>
      <c r="E5" s="7" t="s">
        <v>5</v>
      </c>
      <c r="F5" s="7" t="s">
        <v>6</v>
      </c>
      <c r="G5" s="7" t="s">
        <v>7</v>
      </c>
      <c r="H5" s="7" t="s">
        <v>58</v>
      </c>
    </row>
    <row r="6" customFormat="false" ht="15" hidden="false" customHeight="true" outlineLevel="0" collapsed="false">
      <c r="B6" s="17" t="s">
        <v>82</v>
      </c>
      <c r="C6" s="33" t="n">
        <f aca="false">Assumptions!C5</f>
        <v>150.2</v>
      </c>
      <c r="D6" s="33" t="n">
        <f aca="false">Assumptions!D5</f>
        <v>187.4</v>
      </c>
      <c r="E6" s="33" t="n">
        <f aca="false">Assumptions!E5</f>
        <v>233.8</v>
      </c>
      <c r="F6" s="33" t="n">
        <f aca="false">Assumptions!F5</f>
        <v>289.912</v>
      </c>
      <c r="G6" s="33" t="n">
        <f aca="false">Assumptions!G5</f>
        <v>358.911056</v>
      </c>
      <c r="H6" s="33" t="n">
        <f aca="false">Assumptions!H5</f>
        <v>443.25515416</v>
      </c>
    </row>
    <row r="7" customFormat="false" ht="15" hidden="false" customHeight="true" outlineLevel="0" collapsed="false">
      <c r="B7" s="20" t="s">
        <v>83</v>
      </c>
      <c r="C7" s="34" t="n">
        <f aca="false">Assumptions!C6</f>
        <v>28.4</v>
      </c>
      <c r="D7" s="34" t="n">
        <f aca="false">Assumptions!D6</f>
        <v>33.1</v>
      </c>
      <c r="E7" s="34" t="n">
        <f aca="false">Assumptions!E6</f>
        <v>38.6</v>
      </c>
      <c r="F7" s="34" t="n">
        <f aca="false">Assumptions!F6</f>
        <v>45.548</v>
      </c>
      <c r="G7" s="34" t="n">
        <f aca="false">Assumptions!G6</f>
        <v>52.83568</v>
      </c>
      <c r="H7" s="34" t="n">
        <f aca="false">Assumptions!H6</f>
        <v>60.2326752</v>
      </c>
    </row>
    <row r="8" customFormat="false" ht="15" hidden="false" customHeight="true" outlineLevel="0" collapsed="false">
      <c r="B8" s="17" t="s">
        <v>84</v>
      </c>
      <c r="C8" s="33" t="n">
        <f aca="false">Assumptions!C7</f>
        <v>42.1</v>
      </c>
      <c r="D8" s="33" t="n">
        <f aca="false">Assumptions!D7</f>
        <v>49.6</v>
      </c>
      <c r="E8" s="33" t="n">
        <f aca="false">Assumptions!E7</f>
        <v>39.6</v>
      </c>
      <c r="F8" s="33" t="n">
        <f aca="false">Assumptions!F7</f>
        <v>41.58</v>
      </c>
      <c r="G8" s="33" t="n">
        <f aca="false">Assumptions!G7</f>
        <v>43.659</v>
      </c>
      <c r="H8" s="33" t="n">
        <f aca="false">Assumptions!H7</f>
        <v>45.84195</v>
      </c>
    </row>
    <row r="9" customFormat="false" ht="15" hidden="false" customHeight="true" outlineLevel="0" collapsed="false">
      <c r="B9" s="35" t="s">
        <v>85</v>
      </c>
      <c r="C9" s="36" t="n">
        <f aca="false">SUM(C6:C8)</f>
        <v>220.7</v>
      </c>
      <c r="D9" s="36" t="n">
        <f aca="false">SUM(D6:D8)</f>
        <v>270.1</v>
      </c>
      <c r="E9" s="36" t="n">
        <f aca="false">SUM(E6:E8)</f>
        <v>312</v>
      </c>
      <c r="F9" s="36" t="n">
        <f aca="false">SUM(F6:F8)</f>
        <v>377.04</v>
      </c>
      <c r="G9" s="36" t="n">
        <f aca="false">SUM(G6:G8)</f>
        <v>455.405736</v>
      </c>
      <c r="H9" s="36" t="n">
        <f aca="false">SUM(H6:H8)</f>
        <v>549.32977936</v>
      </c>
    </row>
    <row r="10" customFormat="false" ht="15" hidden="false" customHeight="true" outlineLevel="0" collapsed="false">
      <c r="B10" s="37" t="s">
        <v>86</v>
      </c>
      <c r="C10" s="38" t="s">
        <v>64</v>
      </c>
      <c r="D10" s="39" t="n">
        <f aca="false">(D9-C9)/C9</f>
        <v>0.22383325781604</v>
      </c>
      <c r="E10" s="39" t="n">
        <f aca="false">(E9-D9)/D9</f>
        <v>0.155127730470196</v>
      </c>
      <c r="F10" s="39" t="n">
        <f aca="false">(F9-E9)/E9</f>
        <v>0.208461538461538</v>
      </c>
      <c r="G10" s="39" t="n">
        <f aca="false">(G9-F9)/F9</f>
        <v>0.207844621260344</v>
      </c>
      <c r="H10" s="39" t="n">
        <f aca="false">(H9-G9)/G9</f>
        <v>0.206242556769202</v>
      </c>
    </row>
    <row r="12" customFormat="false" ht="15.75" hidden="false" customHeight="true" outlineLevel="0" collapsed="false">
      <c r="B12" s="15" t="s">
        <v>87</v>
      </c>
      <c r="C12" s="15"/>
      <c r="D12" s="15"/>
      <c r="E12" s="15"/>
      <c r="F12" s="15"/>
      <c r="G12" s="15"/>
      <c r="H12" s="15"/>
    </row>
    <row r="13" customFormat="false" ht="15" hidden="false" customHeight="true" outlineLevel="0" collapsed="false">
      <c r="B13" s="17" t="s">
        <v>88</v>
      </c>
      <c r="C13" s="40" t="n">
        <f aca="false">C9*(1-Assumptions!C17)</f>
        <v>78.7899</v>
      </c>
      <c r="D13" s="40" t="n">
        <f aca="false">D9*(1-Assumptions!D17)</f>
        <v>90.7536</v>
      </c>
      <c r="E13" s="40" t="n">
        <f aca="false">E9*(1-Assumptions!E17)</f>
        <v>98.592</v>
      </c>
      <c r="F13" s="40" t="n">
        <f aca="false">F9*(1-Assumptions!F17)</f>
        <v>112.73496</v>
      </c>
      <c r="G13" s="40" t="n">
        <f aca="false">G9*(1-Assumptions!G17)</f>
        <v>128.424417552</v>
      </c>
      <c r="H13" s="40" t="n">
        <f aca="false">H9*(1-Assumptions!H17)</f>
        <v>147.22038086848</v>
      </c>
    </row>
    <row r="14" customFormat="false" ht="15" hidden="false" customHeight="true" outlineLevel="0" collapsed="false">
      <c r="B14" s="35" t="s">
        <v>89</v>
      </c>
      <c r="C14" s="36" t="n">
        <f aca="false">C9-C13</f>
        <v>141.9101</v>
      </c>
      <c r="D14" s="36" t="n">
        <f aca="false">D9-D13</f>
        <v>179.3464</v>
      </c>
      <c r="E14" s="36" t="n">
        <f aca="false">E9-E13</f>
        <v>213.408</v>
      </c>
      <c r="F14" s="36" t="n">
        <f aca="false">F9-F13</f>
        <v>264.30504</v>
      </c>
      <c r="G14" s="36" t="n">
        <f aca="false">G9-G13</f>
        <v>326.981318448</v>
      </c>
      <c r="H14" s="36" t="n">
        <f aca="false">H9-H13</f>
        <v>402.10939849152</v>
      </c>
    </row>
    <row r="15" customFormat="false" ht="15" hidden="false" customHeight="true" outlineLevel="0" collapsed="false">
      <c r="B15" s="37" t="s">
        <v>90</v>
      </c>
      <c r="C15" s="39" t="n">
        <f aca="false">C14/C9</f>
        <v>0.643</v>
      </c>
      <c r="D15" s="39" t="n">
        <f aca="false">D14/D9</f>
        <v>0.664</v>
      </c>
      <c r="E15" s="39" t="n">
        <f aca="false">E14/E9</f>
        <v>0.684</v>
      </c>
      <c r="F15" s="39" t="n">
        <f aca="false">F14/F9</f>
        <v>0.701</v>
      </c>
      <c r="G15" s="39" t="n">
        <f aca="false">G14/G9</f>
        <v>0.718</v>
      </c>
      <c r="H15" s="39" t="n">
        <f aca="false">H14/H9</f>
        <v>0.732</v>
      </c>
    </row>
    <row r="17" customFormat="false" ht="15.75" hidden="false" customHeight="true" outlineLevel="0" collapsed="false">
      <c r="B17" s="15" t="s">
        <v>91</v>
      </c>
      <c r="C17" s="15"/>
      <c r="D17" s="15"/>
      <c r="E17" s="15"/>
      <c r="F17" s="15"/>
      <c r="G17" s="15"/>
      <c r="H17" s="15"/>
    </row>
    <row r="18" customFormat="false" ht="15" hidden="false" customHeight="true" outlineLevel="0" collapsed="false">
      <c r="B18" s="17" t="s">
        <v>92</v>
      </c>
      <c r="C18" s="40" t="n">
        <f aca="false">C9*Assumptions!C18</f>
        <v>40.1674</v>
      </c>
      <c r="D18" s="40" t="n">
        <f aca="false">D9*Assumptions!D18</f>
        <v>46.9974</v>
      </c>
      <c r="E18" s="40" t="n">
        <f aca="false">E9*Assumptions!E18</f>
        <v>52.416</v>
      </c>
      <c r="F18" s="40" t="n">
        <f aca="false">F9*Assumptions!F18</f>
        <v>61.08048</v>
      </c>
      <c r="G18" s="40" t="n">
        <f aca="false">G9*Assumptions!G18</f>
        <v>70.58788908</v>
      </c>
      <c r="H18" s="40" t="n">
        <f aca="false">H9*Assumptions!H18</f>
        <v>81.30080734528</v>
      </c>
    </row>
    <row r="19" customFormat="false" ht="15" hidden="false" customHeight="true" outlineLevel="0" collapsed="false">
      <c r="B19" s="20" t="s">
        <v>93</v>
      </c>
      <c r="C19" s="41" t="n">
        <f aca="false">C9*Assumptions!C19</f>
        <v>53.1887</v>
      </c>
      <c r="D19" s="41" t="n">
        <f aca="false">D9*Assumptions!D19</f>
        <v>61.5828</v>
      </c>
      <c r="E19" s="41" t="n">
        <f aca="false">E9*Assumptions!E19</f>
        <v>68.016</v>
      </c>
      <c r="F19" s="41" t="n">
        <f aca="false">F9*Assumptions!F19</f>
        <v>78.42432</v>
      </c>
      <c r="G19" s="41" t="n">
        <f aca="false">G9*Assumptions!G19</f>
        <v>90.170335728</v>
      </c>
      <c r="H19" s="41" t="n">
        <f aca="false">H9*Assumptions!H19</f>
        <v>103.27399851968</v>
      </c>
    </row>
    <row r="20" customFormat="false" ht="15" hidden="false" customHeight="true" outlineLevel="0" collapsed="false">
      <c r="B20" s="17" t="s">
        <v>94</v>
      </c>
      <c r="C20" s="40" t="n">
        <f aca="false">C9*Assumptions!C20</f>
        <v>20.3044</v>
      </c>
      <c r="D20" s="40" t="n">
        <f aca="false">D9*Assumptions!D20</f>
        <v>23.7688</v>
      </c>
      <c r="E20" s="40" t="n">
        <f aca="false">E9*Assumptions!E20</f>
        <v>25.584</v>
      </c>
      <c r="F20" s="40" t="n">
        <f aca="false">F9*Assumptions!F20</f>
        <v>29.40912</v>
      </c>
      <c r="G20" s="40" t="n">
        <f aca="false">G9*Assumptions!G20</f>
        <v>33.700024464</v>
      </c>
      <c r="H20" s="40" t="n">
        <f aca="false">H9*Assumptions!H20</f>
        <v>39.00241433456</v>
      </c>
    </row>
    <row r="21" customFormat="false" ht="15" hidden="false" customHeight="true" outlineLevel="0" collapsed="false">
      <c r="B21" s="42" t="s">
        <v>95</v>
      </c>
      <c r="C21" s="43" t="n">
        <f aca="false">SUM(C18:C20)</f>
        <v>113.6605</v>
      </c>
      <c r="D21" s="43" t="n">
        <f aca="false">SUM(D18:D20)</f>
        <v>132.349</v>
      </c>
      <c r="E21" s="43" t="n">
        <f aca="false">SUM(E18:E20)</f>
        <v>146.016</v>
      </c>
      <c r="F21" s="43" t="n">
        <f aca="false">SUM(F18:F20)</f>
        <v>168.91392</v>
      </c>
      <c r="G21" s="43" t="n">
        <f aca="false">SUM(G18:G20)</f>
        <v>194.458249272</v>
      </c>
      <c r="H21" s="43" t="n">
        <f aca="false">SUM(H18:H20)</f>
        <v>223.57722019952</v>
      </c>
    </row>
    <row r="22" customFormat="false" ht="15" hidden="false" customHeight="true" outlineLevel="0" collapsed="false">
      <c r="B22" s="35" t="s">
        <v>96</v>
      </c>
      <c r="C22" s="36" t="n">
        <f aca="false">C14-C21</f>
        <v>28.2496</v>
      </c>
      <c r="D22" s="36" t="n">
        <f aca="false">D14-D21</f>
        <v>46.9974</v>
      </c>
      <c r="E22" s="36" t="n">
        <f aca="false">E14-E21</f>
        <v>67.3920000000001</v>
      </c>
      <c r="F22" s="36" t="n">
        <f aca="false">F14-F21</f>
        <v>95.39112</v>
      </c>
      <c r="G22" s="36" t="n">
        <f aca="false">G14-G21</f>
        <v>132.523069176</v>
      </c>
      <c r="H22" s="36" t="n">
        <f aca="false">H14-H21</f>
        <v>178.532178292</v>
      </c>
    </row>
    <row r="23" customFormat="false" ht="15" hidden="false" customHeight="true" outlineLevel="0" collapsed="false">
      <c r="B23" s="37" t="s">
        <v>97</v>
      </c>
      <c r="C23" s="39" t="n">
        <f aca="false">C22/C9</f>
        <v>0.128</v>
      </c>
      <c r="D23" s="39" t="n">
        <f aca="false">D22/D9</f>
        <v>0.174</v>
      </c>
      <c r="E23" s="39" t="n">
        <f aca="false">E22/E9</f>
        <v>0.216</v>
      </c>
      <c r="F23" s="39" t="n">
        <f aca="false">F22/F9</f>
        <v>0.253</v>
      </c>
      <c r="G23" s="39" t="n">
        <f aca="false">G22/G9</f>
        <v>0.291</v>
      </c>
      <c r="H23" s="39" t="n">
        <f aca="false">H22/H9</f>
        <v>0.325</v>
      </c>
    </row>
    <row r="25" customFormat="false" ht="15.75" hidden="false" customHeight="true" outlineLevel="0" collapsed="false">
      <c r="B25" s="15" t="s">
        <v>98</v>
      </c>
      <c r="C25" s="15"/>
      <c r="D25" s="15"/>
      <c r="E25" s="15"/>
      <c r="F25" s="15"/>
      <c r="G25" s="15"/>
      <c r="H25" s="15"/>
    </row>
    <row r="26" customFormat="false" ht="15" hidden="false" customHeight="true" outlineLevel="0" collapsed="false">
      <c r="B26" s="17" t="s">
        <v>99</v>
      </c>
      <c r="C26" s="40" t="n">
        <f aca="false">C9*Assumptions!C21</f>
        <v>8.3866</v>
      </c>
      <c r="D26" s="40" t="n">
        <f aca="false">D9*Assumptions!D21</f>
        <v>9.4535</v>
      </c>
      <c r="E26" s="40" t="n">
        <f aca="false">E9*Assumptions!E21</f>
        <v>9.984</v>
      </c>
      <c r="F26" s="40" t="n">
        <f aca="false">F9*Assumptions!F21</f>
        <v>11.68824</v>
      </c>
      <c r="G26" s="40" t="n">
        <f aca="false">G9*Assumptions!G21</f>
        <v>13.66217208</v>
      </c>
      <c r="H26" s="40" t="n">
        <f aca="false">H9*Assumptions!H21</f>
        <v>15.93056360144</v>
      </c>
    </row>
    <row r="27" customFormat="false" ht="15" hidden="false" customHeight="true" outlineLevel="0" collapsed="false">
      <c r="B27" s="20" t="s">
        <v>100</v>
      </c>
      <c r="C27" s="44" t="n">
        <v>-3.2</v>
      </c>
      <c r="D27" s="44" t="n">
        <v>-2.8</v>
      </c>
      <c r="E27" s="44" t="n">
        <v>-2.1</v>
      </c>
      <c r="F27" s="44" t="n">
        <v>-1.4</v>
      </c>
      <c r="G27" s="44" t="n">
        <v>-0.9</v>
      </c>
      <c r="H27" s="44" t="n">
        <v>-0.5</v>
      </c>
    </row>
    <row r="28" customFormat="false" ht="15" hidden="false" customHeight="true" outlineLevel="0" collapsed="false">
      <c r="B28" s="17" t="s">
        <v>101</v>
      </c>
      <c r="C28" s="45" t="n">
        <v>0.4</v>
      </c>
      <c r="D28" s="45" t="n">
        <v>0.6</v>
      </c>
      <c r="E28" s="45" t="n">
        <v>0.8</v>
      </c>
      <c r="F28" s="45" t="n">
        <v>0.9</v>
      </c>
      <c r="G28" s="45" t="n">
        <v>1</v>
      </c>
      <c r="H28" s="45" t="n">
        <v>1.1</v>
      </c>
    </row>
    <row r="30" customFormat="false" ht="15" hidden="false" customHeight="true" outlineLevel="0" collapsed="false">
      <c r="B30" s="35" t="s">
        <v>102</v>
      </c>
      <c r="C30" s="36" t="n">
        <f aca="false">C22+C26</f>
        <v>36.6362</v>
      </c>
      <c r="D30" s="36" t="n">
        <f aca="false">D22+D26</f>
        <v>56.4509</v>
      </c>
      <c r="E30" s="36" t="n">
        <f aca="false">E22+E26</f>
        <v>77.3760000000001</v>
      </c>
      <c r="F30" s="36" t="n">
        <f aca="false">F22+F26</f>
        <v>107.07936</v>
      </c>
      <c r="G30" s="36" t="n">
        <f aca="false">G22+G26</f>
        <v>146.185241256</v>
      </c>
      <c r="H30" s="36" t="n">
        <f aca="false">H22+H26</f>
        <v>194.46274189344</v>
      </c>
    </row>
    <row r="31" customFormat="false" ht="15" hidden="false" customHeight="true" outlineLevel="0" collapsed="false">
      <c r="B31" s="37" t="s">
        <v>103</v>
      </c>
      <c r="C31" s="39" t="n">
        <f aca="false">C30/C9</f>
        <v>0.166</v>
      </c>
      <c r="D31" s="39" t="n">
        <f aca="false">D30/D9</f>
        <v>0.209</v>
      </c>
      <c r="E31" s="39" t="n">
        <f aca="false">E30/E9</f>
        <v>0.248</v>
      </c>
      <c r="F31" s="39" t="n">
        <f aca="false">F30/F9</f>
        <v>0.284</v>
      </c>
      <c r="G31" s="39" t="n">
        <f aca="false">G30/G9</f>
        <v>0.321</v>
      </c>
      <c r="H31" s="39" t="n">
        <f aca="false">H30/H9</f>
        <v>0.354</v>
      </c>
    </row>
    <row r="33" customFormat="false" ht="15" hidden="false" customHeight="true" outlineLevel="0" collapsed="false">
      <c r="B33" s="42" t="s">
        <v>104</v>
      </c>
      <c r="C33" s="43" t="n">
        <f aca="false">C22+C27+C28</f>
        <v>25.4496</v>
      </c>
      <c r="D33" s="43" t="n">
        <f aca="false">D22+D27+D28</f>
        <v>44.7974</v>
      </c>
      <c r="E33" s="43" t="n">
        <f aca="false">E22+E27+E28</f>
        <v>66.0920000000001</v>
      </c>
      <c r="F33" s="43" t="n">
        <f aca="false">F22+F27+F28</f>
        <v>94.89112</v>
      </c>
      <c r="G33" s="43" t="n">
        <f aca="false">G22+G27+G28</f>
        <v>132.623069176</v>
      </c>
      <c r="H33" s="43" t="n">
        <f aca="false">H22+H27+H28</f>
        <v>179.132178292</v>
      </c>
    </row>
    <row r="34" customFormat="false" ht="15" hidden="false" customHeight="true" outlineLevel="0" collapsed="false">
      <c r="B34" s="17" t="s">
        <v>105</v>
      </c>
      <c r="C34" s="40" t="n">
        <f aca="false">C33*Assumptions!C22</f>
        <v>5.471664</v>
      </c>
      <c r="D34" s="40" t="n">
        <f aca="false">D33*Assumptions!D22</f>
        <v>9.7658332</v>
      </c>
      <c r="E34" s="40" t="n">
        <f aca="false">E33*Assumptions!E22</f>
        <v>14.54024</v>
      </c>
      <c r="F34" s="40" t="n">
        <f aca="false">F33*Assumptions!F22</f>
        <v>20.8760464</v>
      </c>
      <c r="G34" s="40" t="n">
        <f aca="false">G33*Assumptions!G22</f>
        <v>29.17707521872</v>
      </c>
      <c r="H34" s="40" t="n">
        <f aca="false">H33*Assumptions!H22</f>
        <v>39.40907922424</v>
      </c>
    </row>
    <row r="35" customFormat="false" ht="15" hidden="false" customHeight="true" outlineLevel="0" collapsed="false">
      <c r="B35" s="46" t="s">
        <v>106</v>
      </c>
      <c r="C35" s="47" t="n">
        <f aca="false">C33-C34</f>
        <v>19.977936</v>
      </c>
      <c r="D35" s="47" t="n">
        <f aca="false">D33-D34</f>
        <v>35.0315668</v>
      </c>
      <c r="E35" s="47" t="n">
        <f aca="false">E33-E34</f>
        <v>51.55176</v>
      </c>
      <c r="F35" s="47" t="n">
        <f aca="false">F33-F34</f>
        <v>74.0150736</v>
      </c>
      <c r="G35" s="47" t="n">
        <f aca="false">G33-G34</f>
        <v>103.44599395728</v>
      </c>
      <c r="H35" s="47" t="n">
        <f aca="false">H33-H34</f>
        <v>139.72309906776</v>
      </c>
    </row>
    <row r="36" customFormat="false" ht="15" hidden="false" customHeight="true" outlineLevel="0" collapsed="false">
      <c r="B36" s="37" t="s">
        <v>107</v>
      </c>
      <c r="C36" s="39" t="n">
        <f aca="false">C35/C9</f>
        <v>0.0905207793384685</v>
      </c>
      <c r="D36" s="39" t="n">
        <f aca="false">D35/D9</f>
        <v>0.129698507219548</v>
      </c>
      <c r="E36" s="39" t="n">
        <f aca="false">E35/E9</f>
        <v>0.16523</v>
      </c>
      <c r="F36" s="39" t="n">
        <f aca="false">F35/F9</f>
        <v>0.196305626989179</v>
      </c>
      <c r="G36" s="39" t="n">
        <f aca="false">G35/G9</f>
        <v>0.227151275840057</v>
      </c>
      <c r="H36" s="39" t="n">
        <f aca="false">H35/H9</f>
        <v>0.254351947259341</v>
      </c>
    </row>
    <row r="38" customFormat="false" ht="15.75" hidden="false" customHeight="true" outlineLevel="0" collapsed="false">
      <c r="B38" s="15" t="s">
        <v>108</v>
      </c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B39" s="16" t="s">
        <v>55</v>
      </c>
      <c r="C39" s="7" t="s">
        <v>56</v>
      </c>
      <c r="D39" s="7" t="s">
        <v>57</v>
      </c>
      <c r="E39" s="7" t="s">
        <v>5</v>
      </c>
      <c r="F39" s="7" t="s">
        <v>6</v>
      </c>
      <c r="G39" s="7" t="s">
        <v>7</v>
      </c>
      <c r="H39" s="7" t="s">
        <v>58</v>
      </c>
    </row>
    <row r="40" customFormat="false" ht="15" hidden="false" customHeight="true" outlineLevel="0" collapsed="false">
      <c r="B40" s="48" t="s">
        <v>109</v>
      </c>
      <c r="C40" s="49" t="n">
        <v>14.8</v>
      </c>
      <c r="D40" s="49" t="n">
        <v>14.9</v>
      </c>
      <c r="E40" s="49" t="n">
        <v>15</v>
      </c>
      <c r="F40" s="49" t="n">
        <v>15.2</v>
      </c>
      <c r="G40" s="49" t="n">
        <v>15.5</v>
      </c>
      <c r="H40" s="49" t="n">
        <v>15.7</v>
      </c>
    </row>
    <row r="41" customFormat="false" ht="15" hidden="false" customHeight="true" outlineLevel="0" collapsed="false">
      <c r="B41" s="42" t="s">
        <v>110</v>
      </c>
      <c r="C41" s="50" t="n">
        <f aca="false">C35/C40</f>
        <v>1.34986054054054</v>
      </c>
      <c r="D41" s="50" t="n">
        <f aca="false">D35/D40</f>
        <v>2.35111186577181</v>
      </c>
      <c r="E41" s="50" t="n">
        <f aca="false">E35/E40</f>
        <v>3.436784</v>
      </c>
      <c r="F41" s="50" t="n">
        <f aca="false">F35/F40</f>
        <v>4.8694127368421</v>
      </c>
      <c r="G41" s="50" t="n">
        <f aca="false">G35/G40</f>
        <v>6.67393509401807</v>
      </c>
      <c r="H41" s="50" t="n">
        <f aca="false">H35/H40</f>
        <v>8.8995604501758</v>
      </c>
    </row>
  </sheetData>
  <mergeCells count="7">
    <mergeCell ref="B1:H1"/>
    <mergeCell ref="B2:H2"/>
    <mergeCell ref="B4:H4"/>
    <mergeCell ref="B12:H12"/>
    <mergeCell ref="B17:H17"/>
    <mergeCell ref="B25:H25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8" min="3" style="1" width="12"/>
  </cols>
  <sheetData>
    <row r="1" customFormat="false" ht="21.75" hidden="false" customHeight="true" outlineLevel="0" collapsed="false">
      <c r="B1" s="14" t="s">
        <v>111</v>
      </c>
      <c r="C1" s="14"/>
      <c r="D1" s="14"/>
      <c r="E1" s="14"/>
      <c r="F1" s="14"/>
      <c r="G1" s="14"/>
      <c r="H1" s="14"/>
    </row>
    <row r="2" customFormat="false" ht="15" hidden="false" customHeight="true" outlineLevel="0" collapsed="false">
      <c r="B2" s="32" t="s">
        <v>112</v>
      </c>
      <c r="C2" s="32"/>
      <c r="D2" s="32"/>
      <c r="E2" s="32"/>
      <c r="F2" s="32"/>
      <c r="G2" s="32"/>
      <c r="H2" s="32"/>
    </row>
    <row r="4" customFormat="false" ht="15.75" hidden="false" customHeight="true" outlineLevel="0" collapsed="false">
      <c r="B4" s="15" t="s">
        <v>113</v>
      </c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B5" s="16" t="s">
        <v>55</v>
      </c>
      <c r="C5" s="7" t="s">
        <v>56</v>
      </c>
      <c r="D5" s="7" t="s">
        <v>57</v>
      </c>
      <c r="E5" s="7" t="s">
        <v>5</v>
      </c>
      <c r="F5" s="7" t="s">
        <v>6</v>
      </c>
      <c r="G5" s="7" t="s">
        <v>7</v>
      </c>
      <c r="H5" s="7" t="s">
        <v>58</v>
      </c>
    </row>
    <row r="6" customFormat="false" ht="15" hidden="false" customHeight="true" outlineLevel="0" collapsed="false">
      <c r="B6" s="51" t="s">
        <v>106</v>
      </c>
      <c r="C6" s="33" t="n">
        <f aca="false">'Income Statement'!C35</f>
        <v>19.977936</v>
      </c>
      <c r="D6" s="33" t="n">
        <f aca="false">'Income Statement'!D35</f>
        <v>35.0315668</v>
      </c>
      <c r="E6" s="33" t="n">
        <f aca="false">'Income Statement'!E35</f>
        <v>51.55176</v>
      </c>
      <c r="F6" s="33" t="n">
        <f aca="false">'Income Statement'!F35</f>
        <v>74.0150736</v>
      </c>
      <c r="G6" s="33" t="n">
        <f aca="false">'Income Statement'!G35</f>
        <v>103.44599395728</v>
      </c>
      <c r="H6" s="33" t="n">
        <f aca="false">'Income Statement'!H35</f>
        <v>139.72309906776</v>
      </c>
    </row>
    <row r="7" customFormat="false" ht="15" hidden="false" customHeight="true" outlineLevel="0" collapsed="false">
      <c r="B7" s="20" t="s">
        <v>99</v>
      </c>
      <c r="C7" s="34" t="n">
        <f aca="false">'Income Statement'!C26</f>
        <v>8.3866</v>
      </c>
      <c r="D7" s="34" t="n">
        <f aca="false">'Income Statement'!D26</f>
        <v>9.4535</v>
      </c>
      <c r="E7" s="34" t="n">
        <f aca="false">'Income Statement'!E26</f>
        <v>9.984</v>
      </c>
      <c r="F7" s="34" t="n">
        <f aca="false">'Income Statement'!F26</f>
        <v>11.68824</v>
      </c>
      <c r="G7" s="34" t="n">
        <f aca="false">'Income Statement'!G26</f>
        <v>13.66217208</v>
      </c>
      <c r="H7" s="34" t="n">
        <f aca="false">'Income Statement'!H26</f>
        <v>15.93056360144</v>
      </c>
    </row>
    <row r="8" customFormat="false" ht="15" hidden="false" customHeight="true" outlineLevel="0" collapsed="false">
      <c r="B8" s="17" t="s">
        <v>114</v>
      </c>
      <c r="C8" s="45" t="n">
        <v>12.4</v>
      </c>
      <c r="D8" s="45" t="n">
        <v>14.2</v>
      </c>
      <c r="E8" s="45" t="n">
        <v>16.8</v>
      </c>
      <c r="F8" s="45" t="n">
        <v>18.9</v>
      </c>
      <c r="G8" s="45" t="n">
        <v>21.4</v>
      </c>
      <c r="H8" s="45" t="n">
        <v>24.2</v>
      </c>
    </row>
    <row r="9" customFormat="false" ht="15" hidden="false" customHeight="true" outlineLevel="0" collapsed="false">
      <c r="B9" s="20" t="s">
        <v>115</v>
      </c>
      <c r="C9" s="52"/>
      <c r="D9" s="52"/>
      <c r="E9" s="52"/>
      <c r="F9" s="52"/>
      <c r="G9" s="52"/>
      <c r="H9" s="52"/>
    </row>
    <row r="10" customFormat="false" ht="15" hidden="false" customHeight="true" outlineLevel="0" collapsed="false">
      <c r="B10" s="17" t="s">
        <v>116</v>
      </c>
      <c r="C10" s="40" t="n">
        <v>-8.2</v>
      </c>
      <c r="D10" s="40" t="n">
        <v>-9.4</v>
      </c>
      <c r="E10" s="40" t="n">
        <v>-11.3</v>
      </c>
      <c r="F10" s="40" t="n">
        <v>-14.8</v>
      </c>
      <c r="G10" s="40" t="n">
        <v>-18.2</v>
      </c>
      <c r="H10" s="40" t="n">
        <v>-22.6</v>
      </c>
    </row>
    <row r="11" customFormat="false" ht="15" hidden="false" customHeight="true" outlineLevel="0" collapsed="false">
      <c r="B11" s="20" t="s">
        <v>117</v>
      </c>
      <c r="C11" s="41" t="n">
        <v>2.1</v>
      </c>
      <c r="D11" s="41" t="n">
        <v>2.8</v>
      </c>
      <c r="E11" s="41" t="n">
        <v>3.4</v>
      </c>
      <c r="F11" s="41" t="n">
        <v>4.2</v>
      </c>
      <c r="G11" s="41" t="n">
        <v>5.1</v>
      </c>
      <c r="H11" s="41" t="n">
        <v>6.3</v>
      </c>
    </row>
    <row r="12" customFormat="false" ht="15" hidden="false" customHeight="true" outlineLevel="0" collapsed="false">
      <c r="B12" s="17" t="s">
        <v>118</v>
      </c>
      <c r="C12" s="40" t="n">
        <v>8.4</v>
      </c>
      <c r="D12" s="40" t="n">
        <v>9.8</v>
      </c>
      <c r="E12" s="40" t="n">
        <v>11.2</v>
      </c>
      <c r="F12" s="40" t="n">
        <v>14.1</v>
      </c>
      <c r="G12" s="40" t="n">
        <v>17.2</v>
      </c>
      <c r="H12" s="40" t="n">
        <v>20.8</v>
      </c>
    </row>
    <row r="13" customFormat="false" ht="15" hidden="false" customHeight="true" outlineLevel="0" collapsed="false">
      <c r="B13" s="53" t="s">
        <v>119</v>
      </c>
      <c r="C13" s="36" t="n">
        <f aca="false">SUM(C6:C12)</f>
        <v>43.064536</v>
      </c>
      <c r="D13" s="36" t="n">
        <f aca="false">SUM(D6:D12)</f>
        <v>61.8850668</v>
      </c>
      <c r="E13" s="36" t="n">
        <f aca="false">SUM(E6:E12)</f>
        <v>81.6357600000001</v>
      </c>
      <c r="F13" s="36" t="n">
        <f aca="false">SUM(F6:F12)</f>
        <v>108.1033136</v>
      </c>
      <c r="G13" s="36" t="n">
        <f aca="false">SUM(G6:G12)</f>
        <v>142.60816603728</v>
      </c>
      <c r="H13" s="36" t="n">
        <f aca="false">SUM(H6:H12)</f>
        <v>184.3536626692</v>
      </c>
    </row>
    <row r="15" customFormat="false" ht="15.75" hidden="false" customHeight="true" outlineLevel="0" collapsed="false">
      <c r="B15" s="15" t="s">
        <v>120</v>
      </c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B16" s="16" t="s">
        <v>55</v>
      </c>
      <c r="C16" s="7" t="s">
        <v>56</v>
      </c>
      <c r="D16" s="7" t="s">
        <v>57</v>
      </c>
      <c r="E16" s="7" t="s">
        <v>5</v>
      </c>
      <c r="F16" s="7" t="s">
        <v>6</v>
      </c>
      <c r="G16" s="7" t="s">
        <v>7</v>
      </c>
      <c r="H16" s="7" t="s">
        <v>58</v>
      </c>
    </row>
    <row r="17" customFormat="false" ht="15" hidden="false" customHeight="true" outlineLevel="0" collapsed="false">
      <c r="B17" s="20" t="s">
        <v>121</v>
      </c>
      <c r="C17" s="44" t="n">
        <v>-9.6</v>
      </c>
      <c r="D17" s="44" t="n">
        <v>-10.2</v>
      </c>
      <c r="E17" s="44" t="n">
        <v>-11.9</v>
      </c>
      <c r="F17" s="44" t="n">
        <v>-13.9</v>
      </c>
      <c r="G17" s="44" t="n">
        <v>-16.4</v>
      </c>
      <c r="H17" s="44" t="n">
        <v>-18.8</v>
      </c>
    </row>
    <row r="18" customFormat="false" ht="15" hidden="false" customHeight="true" outlineLevel="0" collapsed="false">
      <c r="B18" s="17" t="s">
        <v>122</v>
      </c>
      <c r="C18" s="45" t="n">
        <v>0</v>
      </c>
      <c r="D18" s="45" t="n">
        <v>-45</v>
      </c>
      <c r="E18" s="45" t="n">
        <v>0</v>
      </c>
      <c r="F18" s="45" t="n">
        <v>0</v>
      </c>
      <c r="G18" s="45" t="n">
        <v>0</v>
      </c>
      <c r="H18" s="45" t="n">
        <v>0</v>
      </c>
    </row>
    <row r="19" customFormat="false" ht="15" hidden="false" customHeight="true" outlineLevel="0" collapsed="false">
      <c r="B19" s="53" t="s">
        <v>123</v>
      </c>
      <c r="C19" s="36" t="n">
        <f aca="false">SUM(C17:C18)</f>
        <v>-9.6</v>
      </c>
      <c r="D19" s="36" t="n">
        <f aca="false">SUM(D17:D18)</f>
        <v>-55.2</v>
      </c>
      <c r="E19" s="36" t="n">
        <f aca="false">SUM(E17:E18)</f>
        <v>-11.9</v>
      </c>
      <c r="F19" s="36" t="n">
        <f aca="false">SUM(F17:F18)</f>
        <v>-13.9</v>
      </c>
      <c r="G19" s="36" t="n">
        <f aca="false">SUM(G17:G18)</f>
        <v>-16.4</v>
      </c>
      <c r="H19" s="36" t="n">
        <f aca="false">SUM(H17:H18)</f>
        <v>-18.8</v>
      </c>
    </row>
    <row r="21" customFormat="false" ht="15.75" hidden="false" customHeight="true" outlineLevel="0" collapsed="false">
      <c r="B21" s="15" t="s">
        <v>124</v>
      </c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B22" s="16" t="s">
        <v>55</v>
      </c>
      <c r="C22" s="7" t="s">
        <v>56</v>
      </c>
      <c r="D22" s="7" t="s">
        <v>57</v>
      </c>
      <c r="E22" s="7" t="s">
        <v>5</v>
      </c>
      <c r="F22" s="7" t="s">
        <v>6</v>
      </c>
      <c r="G22" s="7" t="s">
        <v>7</v>
      </c>
      <c r="H22" s="7" t="s">
        <v>58</v>
      </c>
    </row>
    <row r="23" customFormat="false" ht="15" hidden="false" customHeight="true" outlineLevel="0" collapsed="false">
      <c r="B23" s="20" t="s">
        <v>125</v>
      </c>
      <c r="C23" s="44" t="n">
        <v>0</v>
      </c>
      <c r="D23" s="44" t="n">
        <v>45</v>
      </c>
      <c r="E23" s="44" t="n">
        <v>-15</v>
      </c>
      <c r="F23" s="44" t="n">
        <v>-15</v>
      </c>
      <c r="G23" s="44" t="n">
        <v>-15</v>
      </c>
      <c r="H23" s="44" t="n">
        <v>0</v>
      </c>
    </row>
    <row r="24" customFormat="false" ht="15" hidden="false" customHeight="true" outlineLevel="0" collapsed="false">
      <c r="B24" s="17" t="s">
        <v>126</v>
      </c>
      <c r="C24" s="45" t="n">
        <v>-8.4</v>
      </c>
      <c r="D24" s="45" t="n">
        <v>-12</v>
      </c>
      <c r="E24" s="45" t="n">
        <v>-14.2</v>
      </c>
      <c r="F24" s="45" t="n">
        <v>-16.8</v>
      </c>
      <c r="G24" s="45" t="n">
        <v>-18.4</v>
      </c>
      <c r="H24" s="45" t="n">
        <v>-20</v>
      </c>
    </row>
    <row r="25" customFormat="false" ht="15" hidden="false" customHeight="true" outlineLevel="0" collapsed="false">
      <c r="B25" s="53" t="s">
        <v>127</v>
      </c>
      <c r="C25" s="36" t="n">
        <f aca="false">SUM(C23:C24)</f>
        <v>-8.4</v>
      </c>
      <c r="D25" s="36" t="n">
        <f aca="false">SUM(D23:D24)</f>
        <v>33</v>
      </c>
      <c r="E25" s="36" t="n">
        <f aca="false">SUM(E23:E24)</f>
        <v>-29.2</v>
      </c>
      <c r="F25" s="36" t="n">
        <f aca="false">SUM(F23:F24)</f>
        <v>-31.8</v>
      </c>
      <c r="G25" s="36" t="n">
        <f aca="false">SUM(G23:G24)</f>
        <v>-33.4</v>
      </c>
      <c r="H25" s="36" t="n">
        <f aca="false">SUM(H23:H24)</f>
        <v>-20</v>
      </c>
    </row>
    <row r="27" customFormat="false" ht="15.75" hidden="false" customHeight="true" outlineLevel="0" collapsed="false">
      <c r="B27" s="15" t="s">
        <v>128</v>
      </c>
      <c r="C27" s="15"/>
      <c r="D27" s="15"/>
      <c r="E27" s="15"/>
      <c r="F27" s="15"/>
      <c r="G27" s="15"/>
      <c r="H27" s="15"/>
    </row>
    <row r="28" customFormat="false" ht="15" hidden="false" customHeight="true" outlineLevel="0" collapsed="false">
      <c r="B28" s="16" t="s">
        <v>55</v>
      </c>
      <c r="C28" s="7" t="s">
        <v>56</v>
      </c>
      <c r="D28" s="7" t="s">
        <v>57</v>
      </c>
      <c r="E28" s="7" t="s">
        <v>5</v>
      </c>
      <c r="F28" s="7" t="s">
        <v>6</v>
      </c>
      <c r="G28" s="7" t="s">
        <v>7</v>
      </c>
      <c r="H28" s="7" t="s">
        <v>58</v>
      </c>
    </row>
    <row r="29" customFormat="false" ht="15" hidden="false" customHeight="true" outlineLevel="0" collapsed="false">
      <c r="B29" s="53" t="s">
        <v>129</v>
      </c>
      <c r="C29" s="36" t="n">
        <f aca="false">C13+C17</f>
        <v>33.464536</v>
      </c>
      <c r="D29" s="36" t="n">
        <f aca="false">D13+D17</f>
        <v>51.6850668</v>
      </c>
      <c r="E29" s="36" t="n">
        <f aca="false">E13+E17</f>
        <v>69.73576</v>
      </c>
      <c r="F29" s="36" t="n">
        <f aca="false">F13+F17</f>
        <v>94.2033136</v>
      </c>
      <c r="G29" s="36" t="n">
        <f aca="false">G13+G17</f>
        <v>126.20816603728</v>
      </c>
      <c r="H29" s="36" t="n">
        <f aca="false">H13+H17</f>
        <v>165.5536626692</v>
      </c>
    </row>
    <row r="30" customFormat="false" ht="15" hidden="false" customHeight="true" outlineLevel="0" collapsed="false">
      <c r="B30" s="37" t="s">
        <v>130</v>
      </c>
      <c r="C30" s="39" t="n">
        <f aca="false">C29/'Income Statement'!C9</f>
        <v>0.15162907113729</v>
      </c>
      <c r="D30" s="39" t="n">
        <f aca="false">D29/'Income Statement'!D9</f>
        <v>0.19135530099963</v>
      </c>
      <c r="E30" s="39" t="n">
        <f aca="false">E29/'Income Statement'!E9</f>
        <v>0.223512051282051</v>
      </c>
      <c r="F30" s="39" t="n">
        <f aca="false">F29/'Income Statement'!F9</f>
        <v>0.249849654148101</v>
      </c>
      <c r="G30" s="39" t="n">
        <f aca="false">G29/'Income Statement'!G9</f>
        <v>0.277133457179995</v>
      </c>
      <c r="H30" s="39" t="n">
        <f aca="false">H29/'Income Statement'!H9</f>
        <v>0.301373908514626</v>
      </c>
    </row>
    <row r="32" customFormat="false" ht="15" hidden="false" customHeight="true" outlineLevel="0" collapsed="false">
      <c r="B32" s="42" t="s">
        <v>131</v>
      </c>
      <c r="C32" s="43" t="n">
        <f aca="false">C13+C19+C25</f>
        <v>25.064536</v>
      </c>
      <c r="D32" s="43" t="n">
        <f aca="false">D13+D19+D25</f>
        <v>39.6850668</v>
      </c>
      <c r="E32" s="43" t="n">
        <f aca="false">E13+E19+E25</f>
        <v>40.53576</v>
      </c>
      <c r="F32" s="43" t="n">
        <f aca="false">F13+F19+F25</f>
        <v>62.4033136</v>
      </c>
      <c r="G32" s="43" t="n">
        <f aca="false">G13+G19+G25</f>
        <v>92.80816603728</v>
      </c>
      <c r="H32" s="43" t="n">
        <f aca="false">H13+H19+H25</f>
        <v>145.5536626692</v>
      </c>
    </row>
    <row r="33" customFormat="false" ht="15" hidden="false" customHeight="true" outlineLevel="0" collapsed="false">
      <c r="B33" s="48" t="s">
        <v>132</v>
      </c>
      <c r="C33" s="44" t="n">
        <v>62.4</v>
      </c>
      <c r="D33" s="44" t="n">
        <v>65.7</v>
      </c>
      <c r="E33" s="44" t="n">
        <v>54.8</v>
      </c>
      <c r="F33" s="44" t="n">
        <v>68.2</v>
      </c>
      <c r="G33" s="44" t="n">
        <v>82.1</v>
      </c>
      <c r="H33" s="44" t="n">
        <v>96.8</v>
      </c>
    </row>
    <row r="34" customFormat="false" ht="15" hidden="false" customHeight="true" outlineLevel="0" collapsed="false">
      <c r="B34" s="46" t="s">
        <v>133</v>
      </c>
      <c r="C34" s="47" t="n">
        <f aca="false">C33+C32</f>
        <v>87.464536</v>
      </c>
      <c r="D34" s="47" t="n">
        <f aca="false">D33+D32</f>
        <v>105.3850668</v>
      </c>
      <c r="E34" s="47" t="n">
        <f aca="false">E33+E32</f>
        <v>95.33576</v>
      </c>
      <c r="F34" s="47" t="n">
        <f aca="false">F33+F32</f>
        <v>130.6033136</v>
      </c>
      <c r="G34" s="47" t="n">
        <f aca="false">G33+G32</f>
        <v>174.90816603728</v>
      </c>
      <c r="H34" s="47" t="n">
        <f aca="false">H33+H32</f>
        <v>242.3536626692</v>
      </c>
    </row>
  </sheetData>
  <mergeCells count="6">
    <mergeCell ref="B1:H1"/>
    <mergeCell ref="B2:H2"/>
    <mergeCell ref="B4:H4"/>
    <mergeCell ref="B15:H15"/>
    <mergeCell ref="B21:H21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8" min="3" style="1" width="12"/>
  </cols>
  <sheetData>
    <row r="1" customFormat="false" ht="21.75" hidden="false" customHeight="true" outlineLevel="0" collapsed="false">
      <c r="B1" s="14" t="s">
        <v>134</v>
      </c>
      <c r="C1" s="14"/>
      <c r="D1" s="14"/>
      <c r="E1" s="14"/>
      <c r="F1" s="14"/>
      <c r="G1" s="14"/>
      <c r="H1" s="14"/>
    </row>
    <row r="2" customFormat="false" ht="15" hidden="false" customHeight="true" outlineLevel="0" collapsed="false">
      <c r="B2" s="32" t="s">
        <v>80</v>
      </c>
      <c r="C2" s="32"/>
      <c r="D2" s="32"/>
      <c r="E2" s="32"/>
      <c r="F2" s="32"/>
      <c r="G2" s="32"/>
      <c r="H2" s="32"/>
    </row>
    <row r="4" customFormat="false" ht="15.75" hidden="false" customHeight="true" outlineLevel="0" collapsed="false">
      <c r="B4" s="15" t="s">
        <v>135</v>
      </c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B5" s="16" t="s">
        <v>55</v>
      </c>
      <c r="C5" s="7" t="s">
        <v>56</v>
      </c>
      <c r="D5" s="7" t="s">
        <v>57</v>
      </c>
      <c r="E5" s="7" t="s">
        <v>5</v>
      </c>
      <c r="F5" s="7" t="s">
        <v>6</v>
      </c>
      <c r="G5" s="7" t="s">
        <v>7</v>
      </c>
      <c r="H5" s="7" t="s">
        <v>58</v>
      </c>
    </row>
    <row r="6" customFormat="false" ht="15" hidden="false" customHeight="true" outlineLevel="0" collapsed="false">
      <c r="B6" s="17" t="s">
        <v>136</v>
      </c>
      <c r="C6" s="33" t="n">
        <f aca="false">'Cash Flow'!C34</f>
        <v>87.464536</v>
      </c>
      <c r="D6" s="33" t="n">
        <f aca="false">'Cash Flow'!D34</f>
        <v>105.3850668</v>
      </c>
      <c r="E6" s="33" t="n">
        <f aca="false">'Cash Flow'!E34</f>
        <v>95.33576</v>
      </c>
      <c r="F6" s="33" t="n">
        <f aca="false">'Cash Flow'!F34</f>
        <v>130.6033136</v>
      </c>
      <c r="G6" s="33" t="n">
        <f aca="false">'Cash Flow'!G34</f>
        <v>174.90816603728</v>
      </c>
      <c r="H6" s="33" t="n">
        <f aca="false">'Cash Flow'!H34</f>
        <v>242.3536626692</v>
      </c>
    </row>
    <row r="7" customFormat="false" ht="15" hidden="false" customHeight="true" outlineLevel="0" collapsed="false">
      <c r="B7" s="20" t="s">
        <v>137</v>
      </c>
      <c r="C7" s="41" t="n">
        <v>34.2</v>
      </c>
      <c r="D7" s="41" t="n">
        <v>42.4</v>
      </c>
      <c r="E7" s="41" t="n">
        <v>52.1</v>
      </c>
      <c r="F7" s="41" t="n">
        <v>64.8</v>
      </c>
      <c r="G7" s="41" t="n">
        <v>80.4</v>
      </c>
      <c r="H7" s="41" t="n">
        <v>99.8</v>
      </c>
    </row>
    <row r="8" customFormat="false" ht="15" hidden="false" customHeight="true" outlineLevel="0" collapsed="false">
      <c r="B8" s="17" t="s">
        <v>138</v>
      </c>
      <c r="C8" s="40" t="n">
        <v>8.2</v>
      </c>
      <c r="D8" s="40" t="n">
        <v>9.4</v>
      </c>
      <c r="E8" s="40" t="n">
        <v>11.2</v>
      </c>
      <c r="F8" s="40" t="n">
        <v>13.8</v>
      </c>
      <c r="G8" s="40" t="n">
        <v>17.1</v>
      </c>
      <c r="H8" s="40" t="n">
        <v>21.2</v>
      </c>
    </row>
    <row r="9" customFormat="false" ht="15" hidden="false" customHeight="true" outlineLevel="0" collapsed="false">
      <c r="B9" s="35" t="s">
        <v>139</v>
      </c>
      <c r="C9" s="54" t="n">
        <f aca="false">SUM(C6:C8)</f>
        <v>129.864536</v>
      </c>
      <c r="D9" s="54" t="n">
        <f aca="false">SUM(D6:D8)</f>
        <v>157.1850668</v>
      </c>
      <c r="E9" s="54" t="n">
        <f aca="false">SUM(E6:E8)</f>
        <v>158.63576</v>
      </c>
      <c r="F9" s="54" t="n">
        <f aca="false">SUM(F6:F8)</f>
        <v>209.2033136</v>
      </c>
      <c r="G9" s="54" t="n">
        <f aca="false">SUM(G6:G8)</f>
        <v>272.40816603728</v>
      </c>
      <c r="H9" s="54" t="n">
        <f aca="false">SUM(H6:H8)</f>
        <v>363.3536626692</v>
      </c>
    </row>
    <row r="11" customFormat="false" ht="15" hidden="false" customHeight="true" outlineLevel="0" collapsed="false">
      <c r="B11" s="20" t="s">
        <v>140</v>
      </c>
      <c r="C11" s="41" t="n">
        <v>28.4</v>
      </c>
      <c r="D11" s="41" t="n">
        <v>32.6</v>
      </c>
      <c r="E11" s="41" t="n">
        <v>36.8</v>
      </c>
      <c r="F11" s="41" t="n">
        <v>42.1</v>
      </c>
      <c r="G11" s="41" t="n">
        <v>48.6</v>
      </c>
      <c r="H11" s="41" t="n">
        <v>55.4</v>
      </c>
    </row>
    <row r="12" customFormat="false" ht="15" hidden="false" customHeight="true" outlineLevel="0" collapsed="false">
      <c r="B12" s="17" t="s">
        <v>141</v>
      </c>
      <c r="C12" s="40" t="n">
        <v>62.4</v>
      </c>
      <c r="D12" s="40" t="n">
        <v>58.1</v>
      </c>
      <c r="E12" s="40" t="n">
        <v>53.8</v>
      </c>
      <c r="F12" s="40" t="n">
        <v>49.5</v>
      </c>
      <c r="G12" s="40" t="n">
        <v>45.2</v>
      </c>
      <c r="H12" s="40" t="n">
        <v>41</v>
      </c>
    </row>
    <row r="13" customFormat="false" ht="15" hidden="false" customHeight="true" outlineLevel="0" collapsed="false">
      <c r="B13" s="20" t="s">
        <v>142</v>
      </c>
      <c r="C13" s="41" t="n">
        <v>12.4</v>
      </c>
      <c r="D13" s="41" t="n">
        <v>14.2</v>
      </c>
      <c r="E13" s="41" t="n">
        <v>16.8</v>
      </c>
      <c r="F13" s="41" t="n">
        <v>18.9</v>
      </c>
      <c r="G13" s="41" t="n">
        <v>21.4</v>
      </c>
      <c r="H13" s="41" t="n">
        <v>24.2</v>
      </c>
    </row>
    <row r="14" customFormat="false" ht="15" hidden="false" customHeight="true" outlineLevel="0" collapsed="false">
      <c r="B14" s="35" t="s">
        <v>143</v>
      </c>
      <c r="C14" s="54" t="n">
        <f aca="false">SUM(C11:C13)</f>
        <v>103.2</v>
      </c>
      <c r="D14" s="54" t="n">
        <f aca="false">SUM(D11:D13)</f>
        <v>104.9</v>
      </c>
      <c r="E14" s="54" t="n">
        <f aca="false">SUM(E11:E13)</f>
        <v>107.4</v>
      </c>
      <c r="F14" s="54" t="n">
        <f aca="false">SUM(F11:F13)</f>
        <v>110.5</v>
      </c>
      <c r="G14" s="54" t="n">
        <f aca="false">SUM(G11:G13)</f>
        <v>115.2</v>
      </c>
      <c r="H14" s="54" t="n">
        <f aca="false">SUM(H11:H13)</f>
        <v>120.6</v>
      </c>
    </row>
    <row r="15" customFormat="false" ht="15" hidden="false" customHeight="true" outlineLevel="0" collapsed="false">
      <c r="B15" s="55" t="s">
        <v>144</v>
      </c>
      <c r="C15" s="56" t="n">
        <f aca="false">C9+C14</f>
        <v>233.064536</v>
      </c>
      <c r="D15" s="56" t="n">
        <f aca="false">D9+D14</f>
        <v>262.0850668</v>
      </c>
      <c r="E15" s="56" t="n">
        <f aca="false">E9+E14</f>
        <v>266.03576</v>
      </c>
      <c r="F15" s="56" t="n">
        <f aca="false">F9+F14</f>
        <v>319.7033136</v>
      </c>
      <c r="G15" s="56" t="n">
        <f aca="false">G9+G14</f>
        <v>387.60816603728</v>
      </c>
      <c r="H15" s="56" t="n">
        <f aca="false">H9+H14</f>
        <v>483.9536626692</v>
      </c>
    </row>
    <row r="17" customFormat="false" ht="15.75" hidden="false" customHeight="true" outlineLevel="0" collapsed="false">
      <c r="B17" s="15" t="s">
        <v>145</v>
      </c>
      <c r="C17" s="15"/>
      <c r="D17" s="15"/>
      <c r="E17" s="15"/>
      <c r="F17" s="15"/>
      <c r="G17" s="15"/>
      <c r="H17" s="15"/>
    </row>
    <row r="18" customFormat="false" ht="15" hidden="false" customHeight="true" outlineLevel="0" collapsed="false">
      <c r="B18" s="16" t="s">
        <v>55</v>
      </c>
      <c r="C18" s="7" t="s">
        <v>56</v>
      </c>
      <c r="D18" s="7" t="s">
        <v>57</v>
      </c>
      <c r="E18" s="7" t="s">
        <v>5</v>
      </c>
      <c r="F18" s="7" t="s">
        <v>6</v>
      </c>
      <c r="G18" s="7" t="s">
        <v>7</v>
      </c>
      <c r="H18" s="7" t="s">
        <v>58</v>
      </c>
    </row>
    <row r="19" customFormat="false" ht="15" hidden="false" customHeight="true" outlineLevel="0" collapsed="false">
      <c r="B19" s="20" t="s">
        <v>146</v>
      </c>
      <c r="C19" s="41" t="n">
        <v>10.2</v>
      </c>
      <c r="D19" s="41" t="n">
        <v>11.8</v>
      </c>
      <c r="E19" s="41" t="n">
        <v>13.4</v>
      </c>
      <c r="F19" s="41" t="n">
        <v>16.2</v>
      </c>
      <c r="G19" s="41" t="n">
        <v>19.8</v>
      </c>
      <c r="H19" s="41" t="n">
        <v>24.1</v>
      </c>
    </row>
    <row r="20" customFormat="false" ht="15" hidden="false" customHeight="true" outlineLevel="0" collapsed="false">
      <c r="B20" s="17" t="s">
        <v>147</v>
      </c>
      <c r="C20" s="40" t="n">
        <v>24.2</v>
      </c>
      <c r="D20" s="40" t="n">
        <v>28.4</v>
      </c>
      <c r="E20" s="40" t="n">
        <v>33.2</v>
      </c>
      <c r="F20" s="40" t="n">
        <v>39.8</v>
      </c>
      <c r="G20" s="40" t="n">
        <v>48.2</v>
      </c>
      <c r="H20" s="40" t="n">
        <v>58.4</v>
      </c>
    </row>
    <row r="21" customFormat="false" ht="15" hidden="false" customHeight="true" outlineLevel="0" collapsed="false">
      <c r="B21" s="20" t="s">
        <v>148</v>
      </c>
      <c r="C21" s="41" t="n">
        <v>18.4</v>
      </c>
      <c r="D21" s="41" t="n">
        <v>21.2</v>
      </c>
      <c r="E21" s="41" t="n">
        <v>24.8</v>
      </c>
      <c r="F21" s="41" t="n">
        <v>28.9</v>
      </c>
      <c r="G21" s="41" t="n">
        <v>33.4</v>
      </c>
      <c r="H21" s="41" t="n">
        <v>38.8</v>
      </c>
    </row>
    <row r="22" customFormat="false" ht="15" hidden="false" customHeight="true" outlineLevel="0" collapsed="false">
      <c r="B22" s="35" t="s">
        <v>149</v>
      </c>
      <c r="C22" s="54" t="n">
        <f aca="false">SUM(C19:C21)</f>
        <v>52.8</v>
      </c>
      <c r="D22" s="54" t="n">
        <f aca="false">SUM(D19:D21)</f>
        <v>61.4</v>
      </c>
      <c r="E22" s="54" t="n">
        <f aca="false">SUM(E19:E21)</f>
        <v>71.4</v>
      </c>
      <c r="F22" s="54" t="n">
        <f aca="false">SUM(F19:F21)</f>
        <v>84.9</v>
      </c>
      <c r="G22" s="54" t="n">
        <f aca="false">SUM(G19:G21)</f>
        <v>101.4</v>
      </c>
      <c r="H22" s="54" t="n">
        <f aca="false">SUM(H19:H21)</f>
        <v>121.3</v>
      </c>
    </row>
    <row r="24" customFormat="false" ht="15" hidden="false" customHeight="true" outlineLevel="0" collapsed="false">
      <c r="B24" s="17" t="s">
        <v>150</v>
      </c>
      <c r="C24" s="40" t="n">
        <v>45</v>
      </c>
      <c r="D24" s="40" t="n">
        <v>86.2</v>
      </c>
      <c r="E24" s="40" t="n">
        <v>71.2</v>
      </c>
      <c r="F24" s="40" t="n">
        <v>56.2</v>
      </c>
      <c r="G24" s="40" t="n">
        <v>41.2</v>
      </c>
      <c r="H24" s="40" t="n">
        <v>41.2</v>
      </c>
    </row>
    <row r="25" customFormat="false" ht="15" hidden="false" customHeight="true" outlineLevel="0" collapsed="false">
      <c r="B25" s="20" t="s">
        <v>151</v>
      </c>
      <c r="C25" s="41" t="n">
        <v>8.4</v>
      </c>
      <c r="D25" s="41" t="n">
        <v>9.8</v>
      </c>
      <c r="E25" s="41" t="n">
        <v>11.2</v>
      </c>
      <c r="F25" s="41" t="n">
        <v>13.4</v>
      </c>
      <c r="G25" s="41" t="n">
        <v>16.2</v>
      </c>
      <c r="H25" s="41" t="n">
        <v>19.8</v>
      </c>
    </row>
    <row r="26" customFormat="false" ht="15" hidden="false" customHeight="true" outlineLevel="0" collapsed="false">
      <c r="B26" s="17" t="s">
        <v>152</v>
      </c>
      <c r="C26" s="40" t="n">
        <v>6.2</v>
      </c>
      <c r="D26" s="40" t="n">
        <v>7.1</v>
      </c>
      <c r="E26" s="40" t="n">
        <v>8.2</v>
      </c>
      <c r="F26" s="40" t="n">
        <v>9.4</v>
      </c>
      <c r="G26" s="40" t="n">
        <v>10.8</v>
      </c>
      <c r="H26" s="40" t="n">
        <v>12.4</v>
      </c>
    </row>
    <row r="27" customFormat="false" ht="15" hidden="false" customHeight="true" outlineLevel="0" collapsed="false">
      <c r="B27" s="35" t="s">
        <v>153</v>
      </c>
      <c r="C27" s="54" t="n">
        <f aca="false">SUM(C24:C26)</f>
        <v>59.6</v>
      </c>
      <c r="D27" s="54" t="n">
        <f aca="false">SUM(D24:D26)</f>
        <v>103.1</v>
      </c>
      <c r="E27" s="54" t="n">
        <f aca="false">SUM(E24:E26)</f>
        <v>90.6</v>
      </c>
      <c r="F27" s="54" t="n">
        <f aca="false">SUM(F24:F26)</f>
        <v>79</v>
      </c>
      <c r="G27" s="54" t="n">
        <f aca="false">SUM(G24:G26)</f>
        <v>68.2</v>
      </c>
      <c r="H27" s="54" t="n">
        <f aca="false">SUM(H24:H26)</f>
        <v>73.4</v>
      </c>
    </row>
    <row r="28" customFormat="false" ht="15" hidden="false" customHeight="true" outlineLevel="0" collapsed="false">
      <c r="B28" s="55" t="s">
        <v>154</v>
      </c>
      <c r="C28" s="56" t="n">
        <f aca="false">C22+C27</f>
        <v>112.4</v>
      </c>
      <c r="D28" s="56" t="n">
        <f aca="false">D22+D27</f>
        <v>164.5</v>
      </c>
      <c r="E28" s="56" t="n">
        <f aca="false">E22+E27</f>
        <v>162</v>
      </c>
      <c r="F28" s="56" t="n">
        <f aca="false">F22+F27</f>
        <v>163.9</v>
      </c>
      <c r="G28" s="56" t="n">
        <f aca="false">G22+G27</f>
        <v>169.6</v>
      </c>
      <c r="H28" s="56" t="n">
        <f aca="false">H22+H27</f>
        <v>194.7</v>
      </c>
    </row>
    <row r="30" customFormat="false" ht="15" hidden="false" customHeight="true" outlineLevel="0" collapsed="false">
      <c r="B30" s="17" t="s">
        <v>155</v>
      </c>
      <c r="C30" s="40" t="n">
        <v>128.4</v>
      </c>
      <c r="D30" s="40" t="n">
        <v>142.6</v>
      </c>
      <c r="E30" s="40" t="n">
        <v>159.4</v>
      </c>
      <c r="F30" s="40" t="n">
        <v>178.3</v>
      </c>
      <c r="G30" s="40" t="n">
        <v>199.7</v>
      </c>
      <c r="H30" s="40" t="n">
        <v>223.9</v>
      </c>
    </row>
    <row r="31" customFormat="false" ht="15" hidden="false" customHeight="true" outlineLevel="0" collapsed="false">
      <c r="B31" s="20" t="s">
        <v>156</v>
      </c>
      <c r="C31" s="41" t="n">
        <v>24.2</v>
      </c>
      <c r="D31" s="41" t="n">
        <v>36.8</v>
      </c>
      <c r="E31" s="41" t="n">
        <v>56.2</v>
      </c>
      <c r="F31" s="41" t="n">
        <v>98.4</v>
      </c>
      <c r="G31" s="41" t="n">
        <v>158.2</v>
      </c>
      <c r="H31" s="41" t="n">
        <v>236.8</v>
      </c>
    </row>
    <row r="32" customFormat="false" ht="15" hidden="false" customHeight="true" outlineLevel="0" collapsed="false">
      <c r="B32" s="17" t="s">
        <v>157</v>
      </c>
      <c r="C32" s="40" t="n">
        <v>-28.4</v>
      </c>
      <c r="D32" s="40" t="n">
        <v>-40.4</v>
      </c>
      <c r="E32" s="40" t="n">
        <v>-54.6</v>
      </c>
      <c r="F32" s="40" t="n">
        <v>-71.4</v>
      </c>
      <c r="G32" s="40" t="n">
        <v>-89.8</v>
      </c>
      <c r="H32" s="40" t="n">
        <v>-109.8</v>
      </c>
    </row>
    <row r="33" customFormat="false" ht="15" hidden="false" customHeight="true" outlineLevel="0" collapsed="false">
      <c r="B33" s="35" t="s">
        <v>158</v>
      </c>
      <c r="C33" s="54" t="n">
        <f aca="false">SUM(C30:C32)</f>
        <v>124.2</v>
      </c>
      <c r="D33" s="54" t="n">
        <f aca="false">SUM(D30:D32)</f>
        <v>139</v>
      </c>
      <c r="E33" s="54" t="n">
        <f aca="false">SUM(E30:E32)</f>
        <v>161</v>
      </c>
      <c r="F33" s="54" t="n">
        <f aca="false">SUM(F30:F32)</f>
        <v>205.3</v>
      </c>
      <c r="G33" s="54" t="n">
        <f aca="false">SUM(G30:G32)</f>
        <v>268.1</v>
      </c>
      <c r="H33" s="54" t="n">
        <f aca="false">SUM(H30:H32)</f>
        <v>350.9</v>
      </c>
    </row>
    <row r="34" customFormat="false" ht="15" hidden="false" customHeight="true" outlineLevel="0" collapsed="false">
      <c r="B34" s="55" t="s">
        <v>159</v>
      </c>
      <c r="C34" s="56" t="n">
        <f aca="false">C28+C33</f>
        <v>236.6</v>
      </c>
      <c r="D34" s="56" t="n">
        <f aca="false">D28+D33</f>
        <v>303.5</v>
      </c>
      <c r="E34" s="56" t="n">
        <f aca="false">E28+E33</f>
        <v>323</v>
      </c>
      <c r="F34" s="56" t="n">
        <f aca="false">F28+F33</f>
        <v>369.2</v>
      </c>
      <c r="G34" s="56" t="n">
        <f aca="false">G28+G33</f>
        <v>437.7</v>
      </c>
      <c r="H34" s="56" t="n">
        <f aca="false">H28+H33</f>
        <v>545.6</v>
      </c>
    </row>
    <row r="36" customFormat="false" ht="15" hidden="false" customHeight="true" outlineLevel="0" collapsed="false">
      <c r="B36" s="57" t="s">
        <v>160</v>
      </c>
      <c r="C36" s="57"/>
      <c r="D36" s="57"/>
      <c r="E36" s="57"/>
      <c r="F36" s="58" t="str">
        <f aca="false">IF(ABS(H15-H34)&lt;0.1,"BALANCED","CHECK")</f>
        <v>CHECK</v>
      </c>
    </row>
  </sheetData>
  <mergeCells count="5">
    <mergeCell ref="B1:H1"/>
    <mergeCell ref="B2:H2"/>
    <mergeCell ref="B4:H4"/>
    <mergeCell ref="B17:H17"/>
    <mergeCell ref="B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9" min="3" style="1" width="14"/>
  </cols>
  <sheetData>
    <row r="1" customFormat="false" ht="15.75" hidden="false" customHeight="true" outlineLevel="0" collapsed="false">
      <c r="B1" s="14" t="s">
        <v>161</v>
      </c>
      <c r="C1" s="14"/>
      <c r="D1" s="14"/>
      <c r="E1" s="14"/>
      <c r="F1" s="14"/>
      <c r="G1" s="14"/>
      <c r="H1" s="14"/>
      <c r="I1" s="14"/>
    </row>
    <row r="2" customFormat="false" ht="15" hidden="false" customHeight="true" outlineLevel="0" collapsed="false">
      <c r="B2" s="32" t="s">
        <v>162</v>
      </c>
      <c r="C2" s="32"/>
      <c r="D2" s="32"/>
      <c r="E2" s="32"/>
      <c r="F2" s="32"/>
      <c r="G2" s="32"/>
      <c r="H2" s="32"/>
      <c r="I2" s="32"/>
    </row>
    <row r="4" customFormat="false" ht="15.75" hidden="false" customHeight="true" outlineLevel="0" collapsed="false">
      <c r="B4" s="15" t="s">
        <v>163</v>
      </c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B5" s="7" t="s">
        <v>164</v>
      </c>
      <c r="C5" s="59" t="n">
        <v>0.22</v>
      </c>
      <c r="D5" s="59" t="n">
        <v>0.24</v>
      </c>
      <c r="E5" s="59" t="n">
        <v>0.26</v>
      </c>
      <c r="F5" s="59" t="n">
        <v>0.28</v>
      </c>
      <c r="G5" s="59" t="n">
        <v>0.3</v>
      </c>
      <c r="H5" s="59" t="n">
        <v>0.32</v>
      </c>
    </row>
    <row r="6" customFormat="false" ht="15" hidden="false" customHeight="true" outlineLevel="0" collapsed="false">
      <c r="B6" s="59" t="n">
        <v>0.15</v>
      </c>
      <c r="C6" s="60" t="n">
        <v>121.7</v>
      </c>
      <c r="D6" s="61" t="n">
        <v>132.8</v>
      </c>
      <c r="E6" s="61" t="n">
        <v>143.8</v>
      </c>
      <c r="F6" s="61" t="n">
        <v>154.9</v>
      </c>
      <c r="G6" s="62" t="n">
        <v>165.9</v>
      </c>
      <c r="H6" s="62" t="n">
        <v>177</v>
      </c>
    </row>
    <row r="7" customFormat="false" ht="15" hidden="false" customHeight="true" outlineLevel="0" collapsed="false">
      <c r="B7" s="59" t="n">
        <v>0.18</v>
      </c>
      <c r="C7" s="60" t="n">
        <v>124.9</v>
      </c>
      <c r="D7" s="61" t="n">
        <v>136.2</v>
      </c>
      <c r="E7" s="61" t="n">
        <v>147.6</v>
      </c>
      <c r="F7" s="61" t="n">
        <v>158.9</v>
      </c>
      <c r="G7" s="62" t="n">
        <v>170.3</v>
      </c>
      <c r="H7" s="62" t="n">
        <v>181.6</v>
      </c>
    </row>
    <row r="8" customFormat="false" ht="15" hidden="false" customHeight="true" outlineLevel="0" collapsed="false">
      <c r="B8" s="59" t="n">
        <v>0.21</v>
      </c>
      <c r="C8" s="60" t="n">
        <v>128</v>
      </c>
      <c r="D8" s="61" t="n">
        <v>139.7</v>
      </c>
      <c r="E8" s="61" t="n">
        <v>151.3</v>
      </c>
      <c r="F8" s="62" t="n">
        <v>163</v>
      </c>
      <c r="G8" s="62" t="n">
        <v>174.6</v>
      </c>
      <c r="H8" s="62" t="n">
        <v>186.2</v>
      </c>
    </row>
    <row r="9" customFormat="false" ht="15" hidden="false" customHeight="true" outlineLevel="0" collapsed="false">
      <c r="B9" s="59" t="n">
        <v>0.24</v>
      </c>
      <c r="C9" s="61" t="n">
        <v>131.2</v>
      </c>
      <c r="D9" s="61" t="n">
        <v>143.1</v>
      </c>
      <c r="E9" s="61" t="n">
        <v>155.1</v>
      </c>
      <c r="F9" s="62" t="n">
        <v>167</v>
      </c>
      <c r="G9" s="62" t="n">
        <v>178.9</v>
      </c>
      <c r="H9" s="62" t="n">
        <v>190.9</v>
      </c>
    </row>
    <row r="10" customFormat="false" ht="15" hidden="false" customHeight="true" outlineLevel="0" collapsed="false">
      <c r="B10" s="59" t="n">
        <v>0.27</v>
      </c>
      <c r="C10" s="61" t="n">
        <v>134.4</v>
      </c>
      <c r="D10" s="61" t="n">
        <v>146.6</v>
      </c>
      <c r="E10" s="61" t="n">
        <v>158.8</v>
      </c>
      <c r="F10" s="62" t="n">
        <v>171</v>
      </c>
      <c r="G10" s="62" t="n">
        <v>183.3</v>
      </c>
      <c r="H10" s="62" t="n">
        <v>195.5</v>
      </c>
    </row>
    <row r="11" customFormat="false" ht="15" hidden="false" customHeight="true" outlineLevel="0" collapsed="false">
      <c r="B11" s="59" t="n">
        <v>0.3</v>
      </c>
      <c r="C11" s="61" t="n">
        <v>137.6</v>
      </c>
      <c r="D11" s="61" t="n">
        <v>150.1</v>
      </c>
      <c r="E11" s="62" t="n">
        <v>162.6</v>
      </c>
      <c r="F11" s="62" t="n">
        <v>175.1</v>
      </c>
      <c r="G11" s="62" t="n">
        <v>187.6</v>
      </c>
      <c r="H11" s="62" t="n">
        <v>200.1</v>
      </c>
    </row>
    <row r="14" customFormat="false" ht="15" hidden="false" customHeight="true" outlineLevel="0" collapsed="false">
      <c r="B14" s="12" t="s">
        <v>165</v>
      </c>
      <c r="C14" s="63" t="s">
        <v>166</v>
      </c>
      <c r="D14" s="64" t="s">
        <v>167</v>
      </c>
      <c r="E14" s="65" t="s">
        <v>168</v>
      </c>
      <c r="F14" s="66" t="s">
        <v>169</v>
      </c>
      <c r="G14" s="67" t="s">
        <v>170</v>
      </c>
    </row>
    <row r="16" customFormat="false" ht="15.75" hidden="false" customHeight="true" outlineLevel="0" collapsed="false">
      <c r="B16" s="15" t="s">
        <v>171</v>
      </c>
      <c r="C16" s="15"/>
      <c r="D16" s="15"/>
      <c r="E16" s="15"/>
      <c r="F16" s="15"/>
      <c r="G16" s="15"/>
      <c r="H16" s="15"/>
    </row>
    <row r="17" customFormat="false" ht="15" hidden="false" customHeight="true" outlineLevel="0" collapsed="false">
      <c r="B17" s="7" t="s">
        <v>4</v>
      </c>
      <c r="C17" s="7" t="s">
        <v>172</v>
      </c>
      <c r="D17" s="7" t="s">
        <v>173</v>
      </c>
      <c r="E17" s="7" t="s">
        <v>174</v>
      </c>
    </row>
    <row r="18" customFormat="false" ht="15" hidden="false" customHeight="true" outlineLevel="0" collapsed="false">
      <c r="B18" s="17" t="s">
        <v>175</v>
      </c>
      <c r="C18" s="68" t="s">
        <v>176</v>
      </c>
      <c r="D18" s="69" t="s">
        <v>15</v>
      </c>
      <c r="E18" s="70" t="s">
        <v>177</v>
      </c>
    </row>
    <row r="19" customFormat="false" ht="15" hidden="false" customHeight="true" outlineLevel="0" collapsed="false">
      <c r="B19" s="20" t="s">
        <v>16</v>
      </c>
      <c r="C19" s="71" t="s">
        <v>178</v>
      </c>
      <c r="D19" s="72" t="s">
        <v>19</v>
      </c>
      <c r="E19" s="73" t="s">
        <v>179</v>
      </c>
    </row>
    <row r="20" customFormat="false" ht="15" hidden="false" customHeight="true" outlineLevel="0" collapsed="false">
      <c r="B20" s="17" t="s">
        <v>24</v>
      </c>
      <c r="C20" s="68" t="s">
        <v>180</v>
      </c>
      <c r="D20" s="69" t="s">
        <v>27</v>
      </c>
      <c r="E20" s="70" t="s">
        <v>181</v>
      </c>
    </row>
    <row r="21" customFormat="false" ht="15" hidden="false" customHeight="true" outlineLevel="0" collapsed="false">
      <c r="B21" s="20" t="s">
        <v>182</v>
      </c>
      <c r="C21" s="71" t="s">
        <v>183</v>
      </c>
      <c r="D21" s="72" t="s">
        <v>11</v>
      </c>
      <c r="E21" s="73" t="s">
        <v>184</v>
      </c>
    </row>
    <row r="22" customFormat="false" ht="15" hidden="false" customHeight="true" outlineLevel="0" collapsed="false">
      <c r="B22" s="17" t="s">
        <v>185</v>
      </c>
      <c r="C22" s="68" t="s">
        <v>31</v>
      </c>
      <c r="D22" s="69" t="s">
        <v>23</v>
      </c>
      <c r="E22" s="70" t="s">
        <v>186</v>
      </c>
    </row>
    <row r="23" customFormat="false" ht="15" hidden="false" customHeight="true" outlineLevel="0" collapsed="false">
      <c r="B23" s="20" t="s">
        <v>187</v>
      </c>
      <c r="C23" s="71" t="s">
        <v>188</v>
      </c>
      <c r="D23" s="72" t="s">
        <v>189</v>
      </c>
      <c r="E23" s="73" t="s">
        <v>190</v>
      </c>
    </row>
    <row r="24" customFormat="false" ht="15" hidden="false" customHeight="true" outlineLevel="0" collapsed="false">
      <c r="B24" s="17" t="s">
        <v>191</v>
      </c>
      <c r="C24" s="68" t="s">
        <v>192</v>
      </c>
      <c r="D24" s="69" t="s">
        <v>193</v>
      </c>
      <c r="E24" s="70" t="s">
        <v>194</v>
      </c>
    </row>
    <row r="25" customFormat="false" ht="15" hidden="false" customHeight="true" outlineLevel="0" collapsed="false">
      <c r="B25" s="20" t="s">
        <v>195</v>
      </c>
      <c r="C25" s="71" t="s">
        <v>196</v>
      </c>
      <c r="D25" s="72" t="s">
        <v>186</v>
      </c>
      <c r="E25" s="73" t="s">
        <v>197</v>
      </c>
    </row>
  </sheetData>
  <mergeCells count="4">
    <mergeCell ref="B1:I1"/>
    <mergeCell ref="B2:I2"/>
    <mergeCell ref="B4:H4"/>
    <mergeCell ref="B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2026-03-17T00:05:17Z</dcterms:created>
  <dc:creator>openpyxl</dc:creator>
  <dc:description/>
  <dc:language>en-US</dc:language>
  <cp:lastModifiedBy/>
  <dcterms:modified xsi:type="dcterms:W3CDTF">2026-03-17T00:18:11Z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