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Sensitivity Analysi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\$#,##0.0;&quot;($&quot;#,##0.0\);\-"/>
    <numFmt numFmtId="167" formatCode="\$#,##0.00;&quot;($&quot;#,##0.00\);\-"/>
    <numFmt numFmtId="168" formatCode="\$#,##0.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20"/>
    </font>
    <font>
      <name val="Arial"/>
      <charset val="1"/>
      <family val="0"/>
      <color rgb="FF595959"/>
      <sz val="12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3864"/>
      <sz val="13"/>
    </font>
    <font>
      <name val="Arial"/>
      <charset val="1"/>
      <family val="0"/>
      <color rgb="FF0000FF"/>
      <sz val="9"/>
    </font>
    <font>
      <name val="Arial"/>
      <charset val="1"/>
      <family val="0"/>
      <color rgb="FF595959"/>
      <sz val="9"/>
    </font>
    <font>
      <name val="Arial"/>
      <charset val="1"/>
      <family val="0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color rgb="FF00800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0000"/>
      <sz val="8"/>
    </font>
    <font>
      <name val="Arial"/>
      <charset val="1"/>
      <family val="0"/>
      <color rgb="FFFF0000"/>
      <sz val="9"/>
    </font>
    <font>
      <name val="Arial"/>
      <charset val="1"/>
      <family val="0"/>
      <color rgb="FF00B050"/>
      <sz val="9"/>
    </font>
  </fonts>
  <fills count="13">
    <fill>
      <patternFill/>
    </fill>
    <fill>
      <patternFill patternType="gray125"/>
    </fill>
    <fill>
      <patternFill patternType="solid">
        <fgColor rgb="FF3B1F64"/>
        <bgColor rgb="FF333399"/>
      </patternFill>
    </fill>
    <fill>
      <patternFill patternType="solid">
        <fgColor rgb="FF7B4FB6"/>
        <bgColor rgb="FF595959"/>
      </patternFill>
    </fill>
    <fill>
      <patternFill patternType="solid">
        <fgColor rgb="FFF2F2F2"/>
        <bgColor rgb="FFEDE4F8"/>
      </patternFill>
    </fill>
    <fill>
      <patternFill patternType="solid">
        <fgColor rgb="FFFFFFFF"/>
        <bgColor rgb="FFF2F2F2"/>
      </patternFill>
    </fill>
    <fill>
      <patternFill patternType="solid">
        <fgColor rgb="FFC9B8E8"/>
        <bgColor rgb="FFCC99FF"/>
      </patternFill>
    </fill>
    <fill>
      <patternFill patternType="solid">
        <fgColor rgb="FFEDE4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general" vertical="bottom"/>
    </xf>
    <xf numFmtId="164" fontId="12" fillId="4" borderId="0" applyAlignment="1" pivotButton="0" quotePrefix="0" xfId="0">
      <alignment horizontal="center" vertical="center"/>
    </xf>
    <xf numFmtId="164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165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center" vertical="center"/>
    </xf>
    <xf numFmtId="165" fontId="12" fillId="5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bottom"/>
    </xf>
    <xf numFmtId="1" fontId="12" fillId="4" borderId="0" applyAlignment="1" pivotButton="0" quotePrefix="0" xfId="0">
      <alignment horizontal="center" vertical="center"/>
    </xf>
    <xf numFmtId="1" fontId="12" fillId="5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166" fontId="16" fillId="4" borderId="0" applyAlignment="1" pivotButton="0" quotePrefix="0" xfId="0">
      <alignment horizontal="center" vertical="center"/>
    </xf>
    <xf numFmtId="166" fontId="16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general" vertical="bottom"/>
    </xf>
    <xf numFmtId="166" fontId="17" fillId="6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horizontal="center" vertical="center"/>
    </xf>
    <xf numFmtId="166" fontId="10" fillId="5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general" vertical="bottom"/>
    </xf>
    <xf numFmtId="166" fontId="17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center" vertical="center"/>
    </xf>
    <xf numFmtId="166" fontId="12" fillId="4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general" vertical="bottom"/>
    </xf>
    <xf numFmtId="166" fontId="18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center" vertical="center"/>
    </xf>
    <xf numFmtId="167" fontId="9" fillId="7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general" vertical="bottom"/>
    </xf>
    <xf numFmtId="166" fontId="0" fillId="5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general" vertical="bottom"/>
    </xf>
    <xf numFmtId="166" fontId="9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general" vertical="bottom"/>
    </xf>
    <xf numFmtId="166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168" fontId="10" fillId="8" borderId="0" applyAlignment="1" pivotButton="0" quotePrefix="0" xfId="0">
      <alignment horizontal="center" vertical="center"/>
    </xf>
    <xf numFmtId="168" fontId="10" fillId="9" borderId="0" applyAlignment="1" pivotButton="0" quotePrefix="0" xfId="0">
      <alignment horizontal="center" vertical="center"/>
    </xf>
    <xf numFmtId="168" fontId="8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general" vertical="bottom"/>
    </xf>
    <xf numFmtId="164" fontId="12" fillId="4" borderId="0" applyAlignment="1" pivotButton="0" quotePrefix="0" xfId="0">
      <alignment horizontal="center" vertical="center"/>
    </xf>
    <xf numFmtId="164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165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center" vertical="center"/>
    </xf>
    <xf numFmtId="165" fontId="12" fillId="5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bottom"/>
    </xf>
    <xf numFmtId="1" fontId="12" fillId="4" borderId="0" applyAlignment="1" pivotButton="0" quotePrefix="0" xfId="0">
      <alignment horizontal="center" vertical="center"/>
    </xf>
    <xf numFmtId="1" fontId="12" fillId="5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166" fontId="16" fillId="4" borderId="0" applyAlignment="1" pivotButton="0" quotePrefix="0" xfId="0">
      <alignment horizontal="center" vertical="center"/>
    </xf>
    <xf numFmtId="166" fontId="16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general" vertical="bottom"/>
    </xf>
    <xf numFmtId="166" fontId="17" fillId="6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horizontal="center" vertical="center"/>
    </xf>
    <xf numFmtId="166" fontId="10" fillId="5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general" vertical="bottom"/>
    </xf>
    <xf numFmtId="166" fontId="17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center" vertical="center"/>
    </xf>
    <xf numFmtId="166" fontId="12" fillId="4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general" vertical="bottom"/>
    </xf>
    <xf numFmtId="166" fontId="18" fillId="2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7" fontId="9" fillId="7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general" vertical="bottom"/>
    </xf>
    <xf numFmtId="166" fontId="0" fillId="5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general" vertical="bottom"/>
    </xf>
    <xf numFmtId="166" fontId="9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general" vertical="bottom"/>
    </xf>
    <xf numFmtId="166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168" fontId="10" fillId="8" borderId="0" applyAlignment="1" pivotButton="0" quotePrefix="0" xfId="0">
      <alignment horizontal="center" vertical="center"/>
    </xf>
    <xf numFmtId="168" fontId="10" fillId="9" borderId="0" applyAlignment="1" pivotButton="0" quotePrefix="0" xfId="0">
      <alignment horizontal="center" vertical="center"/>
    </xf>
    <xf numFmtId="168" fontId="8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595959"/>
      <rgbColor rgb="FF9999FF"/>
      <rgbColor rgb="FF993366"/>
      <rgbColor rgb="FFF2F2F2"/>
      <rgbColor rgb="FFCCFFFF"/>
      <rgbColor rgb="FF660066"/>
      <rgbColor rgb="FFFF8080"/>
      <rgbColor rgb="FF0066CC"/>
      <rgbColor rgb="FFEDE4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7B4FB6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B1F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4" min="1" max="1"/>
    <col width="30" customWidth="1" style="74" min="2" max="2"/>
    <col width="20" customWidth="1" style="74" min="3" max="5"/>
    <col width="3" customWidth="1" style="74" min="6" max="6"/>
  </cols>
  <sheetData>
    <row r="1" ht="18" customHeight="1" s="75"/>
    <row r="2" ht="18" customHeight="1" s="75">
      <c r="B2" s="76" t="inlineStr">
        <is>
          <t>NEXUS TECHNOLOGY CORPORATION</t>
        </is>
      </c>
    </row>
    <row r="3" ht="18" customHeight="1" s="75"/>
    <row r="4" ht="18" customHeight="1" s="75">
      <c r="B4" s="77" t="inlineStr">
        <is>
          <t>Integrated 3-Statement Financial Model | FY2022A – FY2027E</t>
        </is>
      </c>
    </row>
    <row r="5" ht="18" customHeight="1" s="75">
      <c r="B5" s="78" t="inlineStr">
        <is>
          <t>Enterprise Software &amp; Cloud Infrastructure | NASDAQ: NXTC</t>
        </is>
      </c>
    </row>
    <row r="6" ht="18" customHeight="1" s="75">
      <c r="B6" s="79" t="n"/>
      <c r="C6" s="79" t="n"/>
      <c r="D6" s="79" t="n"/>
      <c r="E6" s="79" t="n"/>
    </row>
    <row r="7" ht="18" customHeight="1" s="75"/>
    <row r="8" ht="18" customHeight="1" s="75">
      <c r="B8" s="80" t="inlineStr">
        <is>
          <t>KEY FINANCIAL HIGHLIGHTS</t>
        </is>
      </c>
    </row>
    <row r="9" ht="18" customHeight="1" s="75">
      <c r="B9" s="81" t="inlineStr">
        <is>
          <t>Metric</t>
        </is>
      </c>
      <c r="C9" s="81" t="inlineStr">
        <is>
          <t>FY2024A</t>
        </is>
      </c>
      <c r="D9" s="81" t="inlineStr">
        <is>
          <t>FY2025E</t>
        </is>
      </c>
      <c r="E9" s="81" t="inlineStr">
        <is>
          <t>FY2026E</t>
        </is>
      </c>
    </row>
    <row r="10" ht="18" customHeight="1" s="75">
      <c r="B10" s="82" t="inlineStr">
        <is>
          <t>Revenue ($mm)</t>
        </is>
      </c>
      <c r="C10" s="83" t="inlineStr">
        <is>
          <t>$312</t>
        </is>
      </c>
      <c r="D10" s="83" t="inlineStr">
        <is>
          <t>$387</t>
        </is>
      </c>
      <c r="E10" s="83" t="inlineStr">
        <is>
          <t>$481</t>
        </is>
      </c>
    </row>
    <row r="11" ht="18" customHeight="1" s="75">
      <c r="B11" s="84" t="inlineStr">
        <is>
          <t>Revenue Growth</t>
        </is>
      </c>
      <c r="C11" s="85" t="inlineStr">
        <is>
          <t>24.8%</t>
        </is>
      </c>
      <c r="D11" s="85" t="inlineStr">
        <is>
          <t>24.0%</t>
        </is>
      </c>
      <c r="E11" s="85" t="inlineStr">
        <is>
          <t>24.2%</t>
        </is>
      </c>
    </row>
    <row r="12" ht="18" customHeight="1" s="75">
      <c r="B12" s="82" t="inlineStr">
        <is>
          <t>Gross Margin</t>
        </is>
      </c>
      <c r="C12" s="83" t="inlineStr">
        <is>
          <t>68.4%</t>
        </is>
      </c>
      <c r="D12" s="83" t="inlineStr">
        <is>
          <t>70.1%</t>
        </is>
      </c>
      <c r="E12" s="83" t="inlineStr">
        <is>
          <t>71.8%</t>
        </is>
      </c>
    </row>
    <row r="13" ht="18" customHeight="1" s="75">
      <c r="B13" s="84" t="inlineStr">
        <is>
          <t>EBITDA ($mm)</t>
        </is>
      </c>
      <c r="C13" s="85" t="inlineStr">
        <is>
          <t>$62</t>
        </is>
      </c>
      <c r="D13" s="85" t="inlineStr">
        <is>
          <t>$91</t>
        </is>
      </c>
      <c r="E13" s="85" t="inlineStr">
        <is>
          <t>$130</t>
        </is>
      </c>
    </row>
    <row r="14" ht="18" customHeight="1" s="75">
      <c r="B14" s="82" t="inlineStr">
        <is>
          <t>EBITDA Margin</t>
        </is>
      </c>
      <c r="C14" s="83" t="inlineStr">
        <is>
          <t>19.9%</t>
        </is>
      </c>
      <c r="D14" s="83" t="inlineStr">
        <is>
          <t>23.5%</t>
        </is>
      </c>
      <c r="E14" s="83" t="inlineStr">
        <is>
          <t>27.0%</t>
        </is>
      </c>
    </row>
    <row r="15" ht="18" customHeight="1" s="75">
      <c r="B15" s="84" t="inlineStr">
        <is>
          <t>Net Income ($mm)</t>
        </is>
      </c>
      <c r="C15" s="85" t="inlineStr">
        <is>
          <t>$28</t>
        </is>
      </c>
      <c r="D15" s="85" t="inlineStr">
        <is>
          <t>$49</t>
        </is>
      </c>
      <c r="E15" s="85" t="inlineStr">
        <is>
          <t>$78</t>
        </is>
      </c>
    </row>
    <row r="16" ht="18" customHeight="1" s="75">
      <c r="B16" s="82" t="inlineStr">
        <is>
          <t>EPS (Diluted)</t>
        </is>
      </c>
      <c r="C16" s="83" t="inlineStr">
        <is>
          <t>$1.87</t>
        </is>
      </c>
      <c r="D16" s="83" t="inlineStr">
        <is>
          <t>$3.19</t>
        </is>
      </c>
      <c r="E16" s="83" t="inlineStr">
        <is>
          <t>$4.98</t>
        </is>
      </c>
    </row>
    <row r="17" ht="18" customHeight="1" s="75">
      <c r="B17" s="84" t="inlineStr">
        <is>
          <t>Free Cash Flow ($mm)</t>
        </is>
      </c>
      <c r="C17" s="85" t="inlineStr">
        <is>
          <t>$44</t>
        </is>
      </c>
      <c r="D17" s="85" t="inlineStr">
        <is>
          <t>$72</t>
        </is>
      </c>
      <c r="E17" s="85" t="inlineStr">
        <is>
          <t>$108</t>
        </is>
      </c>
    </row>
    <row r="18" ht="18" customHeight="1" s="75"/>
    <row r="19" ht="18" customHeight="1" s="75"/>
    <row r="20" ht="18" customHeight="1" s="75">
      <c r="B20" s="80" t="inlineStr">
        <is>
          <t>MODEL INFORMATION</t>
        </is>
      </c>
    </row>
    <row r="21" ht="18" customHeight="1" s="75">
      <c r="B21" s="86" t="inlineStr">
        <is>
          <t>Analyst:</t>
        </is>
      </c>
      <c r="C21" s="87" t="inlineStr">
        <is>
          <t>Senior Associate, FP&amp;A</t>
        </is>
      </c>
    </row>
    <row r="22" ht="18" customHeight="1" s="75">
      <c r="B22" s="86" t="inlineStr">
        <is>
          <t>Date:</t>
        </is>
      </c>
      <c r="C22" s="87" t="inlineStr">
        <is>
          <t>March 2026</t>
        </is>
      </c>
    </row>
    <row r="23" ht="18" customHeight="1" s="75">
      <c r="B23" s="86" t="inlineStr">
        <is>
          <t>Currency:</t>
        </is>
      </c>
      <c r="C23" s="87" t="inlineStr">
        <is>
          <t>USD ($mm unless noted)</t>
        </is>
      </c>
    </row>
    <row r="24" ht="18" customHeight="1" s="75">
      <c r="B24" s="86" t="inlineStr">
        <is>
          <t>Fiscal Year End:</t>
        </is>
      </c>
      <c r="C24" s="87" t="inlineStr">
        <is>
          <t>December 31</t>
        </is>
      </c>
    </row>
    <row r="25" ht="18" customHeight="1" s="75">
      <c r="B25" s="86" t="inlineStr">
        <is>
          <t>Projection Period:</t>
        </is>
      </c>
      <c r="C25" s="87" t="inlineStr">
        <is>
          <t>FY2025E – FY2027E</t>
        </is>
      </c>
    </row>
    <row r="26" ht="18" customHeight="1" s="75">
      <c r="B26" s="86" t="inlineStr">
        <is>
          <t>Color Coding:</t>
        </is>
      </c>
      <c r="C26" s="87" t="inlineStr">
        <is>
          <t>Blue = Input | Black = Formula | Green = Cross-sheet link</t>
        </is>
      </c>
    </row>
    <row r="27" ht="18" customHeight="1" s="75"/>
    <row r="28" ht="18" customHeight="1" s="75"/>
    <row r="29" ht="18" customHeight="1" s="75"/>
    <row r="30" ht="18" customHeight="1" s="75"/>
    <row r="31" ht="18" customHeight="1" s="75"/>
    <row r="32" ht="18" customHeight="1" s="75"/>
    <row r="33" ht="18" customHeight="1" s="75"/>
    <row r="34" ht="18" customHeight="1" s="75"/>
    <row r="35" ht="18" customHeight="1" s="75"/>
    <row r="36" ht="18" customHeight="1" s="75"/>
    <row r="37" ht="18" customHeight="1" s="75"/>
    <row r="38" ht="18" customHeight="1" s="75"/>
    <row r="39" ht="18" customHeight="1" s="75"/>
  </sheetData>
  <mergeCells count="11">
    <mergeCell ref="B8:E8"/>
    <mergeCell ref="B4:E4"/>
    <mergeCell ref="C23:E23"/>
    <mergeCell ref="C22:E22"/>
    <mergeCell ref="C26:E26"/>
    <mergeCell ref="B5:E5"/>
    <mergeCell ref="B20:E20"/>
    <mergeCell ref="C21:E21"/>
    <mergeCell ref="B2:E3"/>
    <mergeCell ref="C25:E25"/>
    <mergeCell ref="C24:E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4" min="1" max="1"/>
    <col width="35" customWidth="1" style="74" min="2" max="2"/>
    <col width="12" customWidth="1" style="74" min="3" max="8"/>
  </cols>
  <sheetData>
    <row r="1" ht="21.75" customHeight="1" s="75">
      <c r="B1" s="88" t="inlineStr">
        <is>
          <t>NEXUS TECHNOLOGY CORP — KEY OPERATING ASSUMPTIONS</t>
        </is>
      </c>
    </row>
    <row r="2"/>
    <row r="3" ht="15.75" customHeight="1" s="75">
      <c r="B3" s="89" t="inlineStr">
        <is>
          <t>REVENUE ASSUMPTIONS</t>
        </is>
      </c>
    </row>
    <row r="4" ht="15" customHeight="1" s="75">
      <c r="B4" s="90" t="inlineStr">
        <is>
          <t>Assumption</t>
        </is>
      </c>
      <c r="C4" s="81" t="inlineStr">
        <is>
          <t>FY2022A</t>
        </is>
      </c>
      <c r="D4" s="81" t="inlineStr">
        <is>
          <t>FY2023A</t>
        </is>
      </c>
      <c r="E4" s="81" t="inlineStr">
        <is>
          <t>FY2024A</t>
        </is>
      </c>
      <c r="F4" s="81" t="inlineStr">
        <is>
          <t>FY2025E</t>
        </is>
      </c>
      <c r="G4" s="81" t="inlineStr">
        <is>
          <t>FY2026E</t>
        </is>
      </c>
      <c r="H4" s="81" t="inlineStr">
        <is>
          <t>FY2027E</t>
        </is>
      </c>
    </row>
    <row r="5" ht="15" customHeight="1" s="75">
      <c r="B5" s="91" t="inlineStr">
        <is>
          <t>Subscription Revenue ($mm)</t>
        </is>
      </c>
      <c r="C5" s="92" t="n">
        <v>150.2</v>
      </c>
      <c r="D5" s="92" t="n">
        <v>187.4</v>
      </c>
      <c r="E5" s="92" t="n">
        <v>233.8</v>
      </c>
      <c r="F5" s="93">
        <f>E5*1.24</f>
        <v/>
      </c>
      <c r="G5" s="93">
        <f>F5*1.238</f>
        <v/>
      </c>
      <c r="H5" s="93">
        <f>G5*1.235</f>
        <v/>
      </c>
    </row>
    <row r="6" ht="15" customHeight="1" s="75">
      <c r="B6" s="94" t="inlineStr">
        <is>
          <t>Professional Services ($mm)</t>
        </is>
      </c>
      <c r="C6" s="95" t="n">
        <v>28.4</v>
      </c>
      <c r="D6" s="95" t="n">
        <v>33.1</v>
      </c>
      <c r="E6" s="95" t="n">
        <v>38.6</v>
      </c>
      <c r="F6" s="96">
        <f>E6*1.18</f>
        <v/>
      </c>
      <c r="G6" s="96">
        <f>F6*1.16</f>
        <v/>
      </c>
      <c r="H6" s="96">
        <f>G6*1.14</f>
        <v/>
      </c>
    </row>
    <row r="7" ht="15" customHeight="1" s="75">
      <c r="B7" s="91" t="inlineStr">
        <is>
          <t>Maintenance &amp; Support ($mm)</t>
        </is>
      </c>
      <c r="C7" s="92" t="n">
        <v>42.1</v>
      </c>
      <c r="D7" s="92" t="n">
        <v>49.6</v>
      </c>
      <c r="E7" s="92" t="n">
        <v>39.6</v>
      </c>
      <c r="F7" s="93">
        <f>E7*1.05</f>
        <v/>
      </c>
      <c r="G7" s="93">
        <f>F7*1.05</f>
        <v/>
      </c>
      <c r="H7" s="93">
        <f>G7*1.05</f>
        <v/>
      </c>
    </row>
    <row r="8"/>
    <row r="9" ht="15.75" customHeight="1" s="75">
      <c r="B9" s="89" t="inlineStr">
        <is>
          <t>GROWTH RATES</t>
        </is>
      </c>
    </row>
    <row r="10" ht="15" customHeight="1" s="75">
      <c r="B10" s="90" t="inlineStr">
        <is>
          <t>Assumption</t>
        </is>
      </c>
      <c r="C10" s="81" t="inlineStr">
        <is>
          <t>FY2022A</t>
        </is>
      </c>
      <c r="D10" s="81" t="inlineStr">
        <is>
          <t>FY2023A</t>
        </is>
      </c>
      <c r="E10" s="81" t="inlineStr">
        <is>
          <t>FY2024A</t>
        </is>
      </c>
      <c r="F10" s="81" t="inlineStr">
        <is>
          <t>FY2025E</t>
        </is>
      </c>
      <c r="G10" s="81" t="inlineStr">
        <is>
          <t>FY2026E</t>
        </is>
      </c>
      <c r="H10" s="81" t="inlineStr">
        <is>
          <t>FY2027E</t>
        </is>
      </c>
    </row>
    <row r="11" ht="15" customHeight="1" s="75">
      <c r="B11" s="91" t="inlineStr">
        <is>
          <t>Subscription Growth YoY</t>
        </is>
      </c>
      <c r="C11" s="97" t="inlineStr">
        <is>
          <t>N/A</t>
        </is>
      </c>
      <c r="D11" s="98">
        <f>(D5-C5)/C5</f>
        <v/>
      </c>
      <c r="E11" s="98">
        <f>(E5-D5)/D5</f>
        <v/>
      </c>
      <c r="F11" s="99" t="n">
        <v>0.24</v>
      </c>
      <c r="G11" s="99" t="n">
        <v>0.238</v>
      </c>
      <c r="H11" s="99" t="n">
        <v>0.235</v>
      </c>
    </row>
    <row r="12" ht="15" customHeight="1" s="75">
      <c r="B12" s="94" t="inlineStr">
        <is>
          <t>Prof. Services Growth YoY</t>
        </is>
      </c>
      <c r="C12" s="100" t="inlineStr">
        <is>
          <t>N/A</t>
        </is>
      </c>
      <c r="D12" s="101">
        <f>(D6-C6)/C6</f>
        <v/>
      </c>
      <c r="E12" s="101">
        <f>(E6-D6)/D6</f>
        <v/>
      </c>
      <c r="F12" s="102" t="n">
        <v>0.18</v>
      </c>
      <c r="G12" s="102" t="n">
        <v>0.16</v>
      </c>
      <c r="H12" s="102" t="n">
        <v>0.14</v>
      </c>
    </row>
    <row r="13" ht="15" customHeight="1" s="75">
      <c r="B13" s="91" t="inlineStr">
        <is>
          <t>Total Revenue Growth YoY</t>
        </is>
      </c>
      <c r="C13" s="97" t="inlineStr">
        <is>
          <t>N/A</t>
        </is>
      </c>
      <c r="D13" s="98">
        <f>(D14-C14)/C14</f>
        <v/>
      </c>
      <c r="E13" s="98">
        <f>(E14-D14)/D14</f>
        <v/>
      </c>
      <c r="F13" s="98">
        <f>(F14-E14)/E14</f>
        <v/>
      </c>
      <c r="G13" s="98">
        <f>(G14-F14)/F14</f>
        <v/>
      </c>
      <c r="H13" s="98">
        <f>(H14-G14)/G14</f>
        <v/>
      </c>
    </row>
    <row r="14" ht="15" customHeight="1" s="75">
      <c r="C14" s="103">
        <f>C5+C6+C7</f>
        <v/>
      </c>
      <c r="D14" s="103">
        <f>D5+D6+D7</f>
        <v/>
      </c>
      <c r="E14" s="103">
        <f>E5+E6+E7</f>
        <v/>
      </c>
      <c r="F14" s="103">
        <f>F5+F6+F7</f>
        <v/>
      </c>
      <c r="G14" s="103">
        <f>G5+G6+G7</f>
        <v/>
      </c>
      <c r="H14" s="103">
        <f>H5+H6+H7</f>
        <v/>
      </c>
    </row>
    <row r="15" ht="15.75" customHeight="1" s="75">
      <c r="B15" s="89" t="inlineStr">
        <is>
          <t>MARGIN ASSUMPTIONS</t>
        </is>
      </c>
    </row>
    <row r="16" ht="15" customHeight="1" s="75">
      <c r="B16" s="90" t="inlineStr">
        <is>
          <t>Assumption</t>
        </is>
      </c>
      <c r="C16" s="81" t="inlineStr">
        <is>
          <t>FY2022A</t>
        </is>
      </c>
      <c r="D16" s="81" t="inlineStr">
        <is>
          <t>FY2023A</t>
        </is>
      </c>
      <c r="E16" s="81" t="inlineStr">
        <is>
          <t>FY2024A</t>
        </is>
      </c>
      <c r="F16" s="81" t="inlineStr">
        <is>
          <t>FY2025E</t>
        </is>
      </c>
      <c r="G16" s="81" t="inlineStr">
        <is>
          <t>FY2026E</t>
        </is>
      </c>
      <c r="H16" s="81" t="inlineStr">
        <is>
          <t>FY2027E</t>
        </is>
      </c>
    </row>
    <row r="17" ht="15" customHeight="1" s="75">
      <c r="B17" s="91" t="inlineStr">
        <is>
          <t>Gross Margin %</t>
        </is>
      </c>
      <c r="C17" s="99" t="n">
        <v>0.643</v>
      </c>
      <c r="D17" s="99" t="n">
        <v>0.664</v>
      </c>
      <c r="E17" s="99" t="n">
        <v>0.6840000000000001</v>
      </c>
      <c r="F17" s="99" t="n">
        <v>0.701</v>
      </c>
      <c r="G17" s="99" t="n">
        <v>0.718</v>
      </c>
      <c r="H17" s="99" t="n">
        <v>0.732</v>
      </c>
    </row>
    <row r="18" ht="15" customHeight="1" s="75">
      <c r="B18" s="94" t="inlineStr">
        <is>
          <t>R&amp;D % of Revenue</t>
        </is>
      </c>
      <c r="C18" s="102" t="n">
        <v>0.182</v>
      </c>
      <c r="D18" s="102" t="n">
        <v>0.174</v>
      </c>
      <c r="E18" s="102" t="n">
        <v>0.168</v>
      </c>
      <c r="F18" s="102" t="n">
        <v>0.162</v>
      </c>
      <c r="G18" s="102" t="n">
        <v>0.155</v>
      </c>
      <c r="H18" s="102" t="n">
        <v>0.148</v>
      </c>
    </row>
    <row r="19" ht="15" customHeight="1" s="75">
      <c r="B19" s="91" t="inlineStr">
        <is>
          <t>S&amp;M % of Revenue</t>
        </is>
      </c>
      <c r="C19" s="99" t="n">
        <v>0.241</v>
      </c>
      <c r="D19" s="99" t="n">
        <v>0.228</v>
      </c>
      <c r="E19" s="99" t="n">
        <v>0.218</v>
      </c>
      <c r="F19" s="99" t="n">
        <v>0.208</v>
      </c>
      <c r="G19" s="99" t="n">
        <v>0.198</v>
      </c>
      <c r="H19" s="99" t="n">
        <v>0.188</v>
      </c>
    </row>
    <row r="20" ht="15" customHeight="1" s="75">
      <c r="B20" s="94" t="inlineStr">
        <is>
          <t>G&amp;A % of Revenue</t>
        </is>
      </c>
      <c r="C20" s="102" t="n">
        <v>0.092</v>
      </c>
      <c r="D20" s="102" t="n">
        <v>0.08799999999999999</v>
      </c>
      <c r="E20" s="102" t="n">
        <v>0.082</v>
      </c>
      <c r="F20" s="102" t="n">
        <v>0.078</v>
      </c>
      <c r="G20" s="102" t="n">
        <v>0.074</v>
      </c>
      <c r="H20" s="102" t="n">
        <v>0.07099999999999999</v>
      </c>
    </row>
    <row r="21" ht="15" customHeight="1" s="75">
      <c r="B21" s="91" t="inlineStr">
        <is>
          <t>D&amp;A % of Revenue</t>
        </is>
      </c>
      <c r="C21" s="99" t="n">
        <v>0.038</v>
      </c>
      <c r="D21" s="99" t="n">
        <v>0.035</v>
      </c>
      <c r="E21" s="99" t="n">
        <v>0.032</v>
      </c>
      <c r="F21" s="99" t="n">
        <v>0.031</v>
      </c>
      <c r="G21" s="99" t="n">
        <v>0.03</v>
      </c>
      <c r="H21" s="99" t="n">
        <v>0.029</v>
      </c>
    </row>
    <row r="22" ht="15" customHeight="1" s="75">
      <c r="B22" s="94" t="inlineStr">
        <is>
          <t>Effective Tax Rate</t>
        </is>
      </c>
      <c r="C22" s="102" t="n">
        <v>0.215</v>
      </c>
      <c r="D22" s="102" t="n">
        <v>0.218</v>
      </c>
      <c r="E22" s="102" t="n">
        <v>0.22</v>
      </c>
      <c r="F22" s="102" t="n">
        <v>0.22</v>
      </c>
      <c r="G22" s="102" t="n">
        <v>0.22</v>
      </c>
      <c r="H22" s="102" t="n">
        <v>0.22</v>
      </c>
    </row>
    <row r="23"/>
    <row r="24" ht="15.75" customHeight="1" s="75">
      <c r="B24" s="89" t="inlineStr">
        <is>
          <t>BALANCE SHEET &amp; WORKING CAPITAL ASSUMPTIONS</t>
        </is>
      </c>
    </row>
    <row r="25" ht="15" customHeight="1" s="75">
      <c r="B25" s="90" t="inlineStr">
        <is>
          <t>Assumption</t>
        </is>
      </c>
      <c r="C25" s="81" t="inlineStr">
        <is>
          <t>FY2022A</t>
        </is>
      </c>
      <c r="D25" s="81" t="inlineStr">
        <is>
          <t>FY2023A</t>
        </is>
      </c>
      <c r="E25" s="81" t="inlineStr">
        <is>
          <t>FY2024A</t>
        </is>
      </c>
      <c r="F25" s="81" t="inlineStr">
        <is>
          <t>FY2025E</t>
        </is>
      </c>
      <c r="G25" s="81" t="inlineStr">
        <is>
          <t>FY2026E</t>
        </is>
      </c>
      <c r="H25" s="81" t="inlineStr">
        <is>
          <t>FY2027E</t>
        </is>
      </c>
    </row>
    <row r="26" ht="15" customHeight="1" s="75">
      <c r="B26" s="91" t="inlineStr">
        <is>
          <t>DSO (Days Sales Outstanding)</t>
        </is>
      </c>
      <c r="C26" s="104" t="n">
        <v>42</v>
      </c>
      <c r="D26" s="104" t="n">
        <v>41</v>
      </c>
      <c r="E26" s="104" t="n">
        <v>40</v>
      </c>
      <c r="F26" s="104" t="n">
        <v>39</v>
      </c>
      <c r="G26" s="104" t="n">
        <v>38</v>
      </c>
      <c r="H26" s="104" t="n">
        <v>37</v>
      </c>
    </row>
    <row r="27" ht="15" customHeight="1" s="75">
      <c r="B27" s="94" t="inlineStr">
        <is>
          <t>DPO (Days Payable Outstanding)</t>
        </is>
      </c>
      <c r="C27" s="105" t="n">
        <v>32</v>
      </c>
      <c r="D27" s="105" t="n">
        <v>33</v>
      </c>
      <c r="E27" s="105" t="n">
        <v>34</v>
      </c>
      <c r="F27" s="105" t="n">
        <v>35</v>
      </c>
      <c r="G27" s="105" t="n">
        <v>36</v>
      </c>
      <c r="H27" s="105" t="n">
        <v>37</v>
      </c>
    </row>
    <row r="28" ht="15" customHeight="1" s="75">
      <c r="B28" s="91" t="inlineStr">
        <is>
          <t>Deferred Revenue (% of Rev)</t>
        </is>
      </c>
      <c r="C28" s="99" t="n">
        <v>0.182</v>
      </c>
      <c r="D28" s="99" t="n">
        <v>0.185</v>
      </c>
      <c r="E28" s="99" t="n">
        <v>0.188</v>
      </c>
      <c r="F28" s="99" t="n">
        <v>0.19</v>
      </c>
      <c r="G28" s="99" t="n">
        <v>0.192</v>
      </c>
      <c r="H28" s="99" t="n">
        <v>0.193</v>
      </c>
    </row>
    <row r="29" ht="15" customHeight="1" s="75">
      <c r="B29" s="94" t="inlineStr">
        <is>
          <t>Capex (% of Revenue)</t>
        </is>
      </c>
      <c r="C29" s="102" t="n">
        <v>0.045</v>
      </c>
      <c r="D29" s="102" t="n">
        <v>0.042</v>
      </c>
      <c r="E29" s="102" t="n">
        <v>0.038</v>
      </c>
      <c r="F29" s="102" t="n">
        <v>0.036</v>
      </c>
      <c r="G29" s="102" t="n">
        <v>0.034</v>
      </c>
      <c r="H29" s="102" t="n">
        <v>0.032</v>
      </c>
    </row>
  </sheetData>
  <mergeCells count="5">
    <mergeCell ref="B9:H9"/>
    <mergeCell ref="B1:H1"/>
    <mergeCell ref="B24:H24"/>
    <mergeCell ref="B15:H15"/>
    <mergeCell ref="B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4" min="1" max="1"/>
    <col width="38" customWidth="1" style="74" min="2" max="2"/>
    <col width="12" customWidth="1" style="74" min="3" max="8"/>
  </cols>
  <sheetData>
    <row r="1" ht="21.75" customHeight="1" s="75">
      <c r="B1" s="88" t="inlineStr">
        <is>
          <t>NEXUS TECHNOLOGY CORP — INCOME STATEMENT</t>
        </is>
      </c>
    </row>
    <row r="2" ht="15" customHeight="1" s="75">
      <c r="B2" s="106" t="inlineStr">
        <is>
          <t>All figures in USD millions | Fiscal Year ending December 31</t>
        </is>
      </c>
    </row>
    <row r="3"/>
    <row r="4" ht="15.75" customHeight="1" s="75">
      <c r="B4" s="89" t="inlineStr">
        <is>
          <t>REVENUE</t>
        </is>
      </c>
    </row>
    <row r="5" ht="15" customHeight="1" s="75">
      <c r="B5" s="90" t="inlineStr">
        <is>
          <t>Assumption</t>
        </is>
      </c>
      <c r="C5" s="81" t="inlineStr">
        <is>
          <t>FY2022A</t>
        </is>
      </c>
      <c r="D5" s="81" t="inlineStr">
        <is>
          <t>FY2023A</t>
        </is>
      </c>
      <c r="E5" s="81" t="inlineStr">
        <is>
          <t>FY2024A</t>
        </is>
      </c>
      <c r="F5" s="81" t="inlineStr">
        <is>
          <t>FY2025E</t>
        </is>
      </c>
      <c r="G5" s="81" t="inlineStr">
        <is>
          <t>FY2026E</t>
        </is>
      </c>
      <c r="H5" s="81" t="inlineStr">
        <is>
          <t>FY2027E</t>
        </is>
      </c>
    </row>
    <row r="6" ht="15" customHeight="1" s="75">
      <c r="B6" s="91" t="inlineStr">
        <is>
          <t>Subscription Revenue</t>
        </is>
      </c>
      <c r="C6" s="107">
        <f>Assumptions!C5</f>
        <v/>
      </c>
      <c r="D6" s="107">
        <f>Assumptions!D5</f>
        <v/>
      </c>
      <c r="E6" s="107">
        <f>Assumptions!E5</f>
        <v/>
      </c>
      <c r="F6" s="107">
        <f>Assumptions!F5</f>
        <v/>
      </c>
      <c r="G6" s="107">
        <f>Assumptions!G5</f>
        <v/>
      </c>
      <c r="H6" s="107">
        <f>Assumptions!H5</f>
        <v/>
      </c>
    </row>
    <row r="7" ht="15" customHeight="1" s="75">
      <c r="B7" s="94" t="inlineStr">
        <is>
          <t>Professional Services</t>
        </is>
      </c>
      <c r="C7" s="108">
        <f>Assumptions!C6</f>
        <v/>
      </c>
      <c r="D7" s="108">
        <f>Assumptions!D6</f>
        <v/>
      </c>
      <c r="E7" s="108">
        <f>Assumptions!E6</f>
        <v/>
      </c>
      <c r="F7" s="108">
        <f>Assumptions!F6</f>
        <v/>
      </c>
      <c r="G7" s="108">
        <f>Assumptions!G6</f>
        <v/>
      </c>
      <c r="H7" s="108">
        <f>Assumptions!H6</f>
        <v/>
      </c>
    </row>
    <row r="8" ht="15" customHeight="1" s="75">
      <c r="B8" s="91" t="inlineStr">
        <is>
          <t>Maintenance &amp; Support</t>
        </is>
      </c>
      <c r="C8" s="107">
        <f>Assumptions!C7</f>
        <v/>
      </c>
      <c r="D8" s="107">
        <f>Assumptions!D7</f>
        <v/>
      </c>
      <c r="E8" s="107">
        <f>Assumptions!E7</f>
        <v/>
      </c>
      <c r="F8" s="107">
        <f>Assumptions!F7</f>
        <v/>
      </c>
      <c r="G8" s="107">
        <f>Assumptions!G7</f>
        <v/>
      </c>
      <c r="H8" s="107">
        <f>Assumptions!H7</f>
        <v/>
      </c>
    </row>
    <row r="9" ht="15" customHeight="1" s="75">
      <c r="B9" s="109" t="inlineStr">
        <is>
          <t>Total Revenue</t>
        </is>
      </c>
      <c r="C9" s="110">
        <f>SUM(C6:C8)</f>
        <v/>
      </c>
      <c r="D9" s="110">
        <f>SUM(D6:D8)</f>
        <v/>
      </c>
      <c r="E9" s="110">
        <f>SUM(E6:E8)</f>
        <v/>
      </c>
      <c r="F9" s="110">
        <f>SUM(F6:F8)</f>
        <v/>
      </c>
      <c r="G9" s="110">
        <f>SUM(G6:G8)</f>
        <v/>
      </c>
      <c r="H9" s="110">
        <f>SUM(H6:H8)</f>
        <v/>
      </c>
    </row>
    <row r="10" ht="15" customHeight="1" s="75">
      <c r="B10" s="111" t="inlineStr">
        <is>
          <t xml:space="preserve">  YoY Growth %</t>
        </is>
      </c>
      <c r="C10" s="112" t="inlineStr">
        <is>
          <t>N/A</t>
        </is>
      </c>
      <c r="D10" s="113">
        <f>(D9-C9)/C9</f>
        <v/>
      </c>
      <c r="E10" s="113">
        <f>(E9-D9)/D9</f>
        <v/>
      </c>
      <c r="F10" s="113">
        <f>(F9-E9)/E9</f>
        <v/>
      </c>
      <c r="G10" s="113">
        <f>(G9-F9)/F9</f>
        <v/>
      </c>
      <c r="H10" s="113">
        <f>(H9-G9)/G9</f>
        <v/>
      </c>
    </row>
    <row r="11"/>
    <row r="12" ht="15.75" customHeight="1" s="75">
      <c r="B12" s="89" t="inlineStr">
        <is>
          <t>COST OF REVENUE &amp; GROSS PROFIT</t>
        </is>
      </c>
    </row>
    <row r="13" ht="15" customHeight="1" s="75">
      <c r="B13" s="91" t="inlineStr">
        <is>
          <t>Cost of Revenue</t>
        </is>
      </c>
      <c r="C13" s="114">
        <f>C9*(1-Assumptions!C17)</f>
        <v/>
      </c>
      <c r="D13" s="114">
        <f>D9*(1-Assumptions!D17)</f>
        <v/>
      </c>
      <c r="E13" s="114">
        <f>E9*(1-Assumptions!E17)</f>
        <v/>
      </c>
      <c r="F13" s="114">
        <f>F9*(1-Assumptions!F17)</f>
        <v/>
      </c>
      <c r="G13" s="114">
        <f>G9*(1-Assumptions!G17)</f>
        <v/>
      </c>
      <c r="H13" s="114">
        <f>H9*(1-Assumptions!H17)</f>
        <v/>
      </c>
    </row>
    <row r="14" ht="15" customHeight="1" s="75">
      <c r="B14" s="109" t="inlineStr">
        <is>
          <t>Gross Profit</t>
        </is>
      </c>
      <c r="C14" s="110">
        <f>C9-C13</f>
        <v/>
      </c>
      <c r="D14" s="110">
        <f>D9-D13</f>
        <v/>
      </c>
      <c r="E14" s="110">
        <f>E9-E13</f>
        <v/>
      </c>
      <c r="F14" s="110">
        <f>F9-F13</f>
        <v/>
      </c>
      <c r="G14" s="110">
        <f>G9-G13</f>
        <v/>
      </c>
      <c r="H14" s="110">
        <f>H9-H13</f>
        <v/>
      </c>
    </row>
    <row r="15" ht="15" customHeight="1" s="75">
      <c r="B15" s="111" t="inlineStr">
        <is>
          <t xml:space="preserve">  Gross Margin %</t>
        </is>
      </c>
      <c r="C15" s="113">
        <f>C14/C9</f>
        <v/>
      </c>
      <c r="D15" s="113">
        <f>D14/D9</f>
        <v/>
      </c>
      <c r="E15" s="113">
        <f>E14/E9</f>
        <v/>
      </c>
      <c r="F15" s="113">
        <f>F14/F9</f>
        <v/>
      </c>
      <c r="G15" s="113">
        <f>G14/G9</f>
        <v/>
      </c>
      <c r="H15" s="113">
        <f>H14/H9</f>
        <v/>
      </c>
    </row>
    <row r="16"/>
    <row r="17" ht="15.75" customHeight="1" s="75">
      <c r="B17" s="89" t="inlineStr">
        <is>
          <t>OPERATING EXPENSES</t>
        </is>
      </c>
    </row>
    <row r="18" ht="15" customHeight="1" s="75">
      <c r="B18" s="91" t="inlineStr">
        <is>
          <t>Research &amp; Development</t>
        </is>
      </c>
      <c r="C18" s="114">
        <f>C9*Assumptions!C18</f>
        <v/>
      </c>
      <c r="D18" s="114">
        <f>D9*Assumptions!D18</f>
        <v/>
      </c>
      <c r="E18" s="114">
        <f>E9*Assumptions!E18</f>
        <v/>
      </c>
      <c r="F18" s="114">
        <f>F9*Assumptions!F18</f>
        <v/>
      </c>
      <c r="G18" s="114">
        <f>G9*Assumptions!G18</f>
        <v/>
      </c>
      <c r="H18" s="114">
        <f>H9*Assumptions!H18</f>
        <v/>
      </c>
    </row>
    <row r="19" ht="15" customHeight="1" s="75">
      <c r="B19" s="94" t="inlineStr">
        <is>
          <t>Sales &amp; Marketing</t>
        </is>
      </c>
      <c r="C19" s="115">
        <f>C9*Assumptions!C19</f>
        <v/>
      </c>
      <c r="D19" s="115">
        <f>D9*Assumptions!D19</f>
        <v/>
      </c>
      <c r="E19" s="115">
        <f>E9*Assumptions!E19</f>
        <v/>
      </c>
      <c r="F19" s="115">
        <f>F9*Assumptions!F19</f>
        <v/>
      </c>
      <c r="G19" s="115">
        <f>G9*Assumptions!G19</f>
        <v/>
      </c>
      <c r="H19" s="115">
        <f>H9*Assumptions!H19</f>
        <v/>
      </c>
    </row>
    <row r="20" ht="15" customHeight="1" s="75">
      <c r="B20" s="91" t="inlineStr">
        <is>
          <t>General &amp; Administrative</t>
        </is>
      </c>
      <c r="C20" s="114">
        <f>C9*Assumptions!C20</f>
        <v/>
      </c>
      <c r="D20" s="114">
        <f>D9*Assumptions!D20</f>
        <v/>
      </c>
      <c r="E20" s="114">
        <f>E9*Assumptions!E20</f>
        <v/>
      </c>
      <c r="F20" s="114">
        <f>F9*Assumptions!F20</f>
        <v/>
      </c>
      <c r="G20" s="114">
        <f>G9*Assumptions!G20</f>
        <v/>
      </c>
      <c r="H20" s="114">
        <f>H9*Assumptions!H20</f>
        <v/>
      </c>
    </row>
    <row r="21" ht="15" customHeight="1" s="75">
      <c r="B21" s="116" t="inlineStr">
        <is>
          <t>Total Operating Expenses</t>
        </is>
      </c>
      <c r="C21" s="117">
        <f>SUM(C18:C20)</f>
        <v/>
      </c>
      <c r="D21" s="117">
        <f>SUM(D18:D20)</f>
        <v/>
      </c>
      <c r="E21" s="117">
        <f>SUM(E18:E20)</f>
        <v/>
      </c>
      <c r="F21" s="117">
        <f>SUM(F18:F20)</f>
        <v/>
      </c>
      <c r="G21" s="117">
        <f>SUM(G18:G20)</f>
        <v/>
      </c>
      <c r="H21" s="117">
        <f>SUM(H18:H20)</f>
        <v/>
      </c>
    </row>
    <row r="22" ht="15" customHeight="1" s="75">
      <c r="B22" s="109" t="inlineStr">
        <is>
          <t>EBIT (Operating Income)</t>
        </is>
      </c>
      <c r="C22" s="110">
        <f>C14-C21</f>
        <v/>
      </c>
      <c r="D22" s="110">
        <f>D14-D21</f>
        <v/>
      </c>
      <c r="E22" s="110">
        <f>E14-E21</f>
        <v/>
      </c>
      <c r="F22" s="110">
        <f>F14-F21</f>
        <v/>
      </c>
      <c r="G22" s="110">
        <f>G14-G21</f>
        <v/>
      </c>
      <c r="H22" s="110">
        <f>H14-H21</f>
        <v/>
      </c>
    </row>
    <row r="23" ht="15" customHeight="1" s="75">
      <c r="B23" s="111" t="inlineStr">
        <is>
          <t xml:space="preserve">  EBIT Margin %</t>
        </is>
      </c>
      <c r="C23" s="113">
        <f>C22/C9</f>
        <v/>
      </c>
      <c r="D23" s="113">
        <f>D22/D9</f>
        <v/>
      </c>
      <c r="E23" s="113">
        <f>E22/E9</f>
        <v/>
      </c>
      <c r="F23" s="113">
        <f>F22/F9</f>
        <v/>
      </c>
      <c r="G23" s="113">
        <f>G22/G9</f>
        <v/>
      </c>
      <c r="H23" s="113">
        <f>H22/H9</f>
        <v/>
      </c>
    </row>
    <row r="24"/>
    <row r="25" ht="15.75" customHeight="1" s="75">
      <c r="B25" s="89" t="inlineStr">
        <is>
          <t>BELOW THE LINE</t>
        </is>
      </c>
    </row>
    <row r="26" ht="15" customHeight="1" s="75">
      <c r="B26" s="91" t="inlineStr">
        <is>
          <t>Depreciation &amp; Amortization</t>
        </is>
      </c>
      <c r="C26" s="114">
        <f>C9*Assumptions!C21</f>
        <v/>
      </c>
      <c r="D26" s="114">
        <f>D9*Assumptions!D21</f>
        <v/>
      </c>
      <c r="E26" s="114">
        <f>E9*Assumptions!E21</f>
        <v/>
      </c>
      <c r="F26" s="114">
        <f>F9*Assumptions!F21</f>
        <v/>
      </c>
      <c r="G26" s="114">
        <f>G9*Assumptions!G21</f>
        <v/>
      </c>
      <c r="H26" s="114">
        <f>H9*Assumptions!H21</f>
        <v/>
      </c>
    </row>
    <row r="27" ht="15" customHeight="1" s="75">
      <c r="B27" s="94" t="inlineStr">
        <is>
          <t>Interest Income / (Expense)</t>
        </is>
      </c>
      <c r="C27" s="118" t="n">
        <v>-3.2</v>
      </c>
      <c r="D27" s="118" t="n">
        <v>-2.8</v>
      </c>
      <c r="E27" s="118" t="n">
        <v>-2.1</v>
      </c>
      <c r="F27" s="118" t="n">
        <v>-1.4</v>
      </c>
      <c r="G27" s="118" t="n">
        <v>-0.9</v>
      </c>
      <c r="H27" s="118" t="n">
        <v>-0.5</v>
      </c>
    </row>
    <row r="28" ht="15" customHeight="1" s="75">
      <c r="B28" s="91" t="inlineStr">
        <is>
          <t>Other Income / (Expense)</t>
        </is>
      </c>
      <c r="C28" s="119" t="n">
        <v>0.4</v>
      </c>
      <c r="D28" s="119" t="n">
        <v>0.6</v>
      </c>
      <c r="E28" s="119" t="n">
        <v>0.8</v>
      </c>
      <c r="F28" s="119" t="n">
        <v>0.9</v>
      </c>
      <c r="G28" s="119" t="n">
        <v>1</v>
      </c>
      <c r="H28" s="119" t="n">
        <v>1.1</v>
      </c>
    </row>
    <row r="29"/>
    <row r="30" ht="15" customHeight="1" s="75">
      <c r="B30" s="109" t="inlineStr">
        <is>
          <t>EBITDA</t>
        </is>
      </c>
      <c r="C30" s="110">
        <f>C22+C26</f>
        <v/>
      </c>
      <c r="D30" s="110">
        <f>D22+D26</f>
        <v/>
      </c>
      <c r="E30" s="110">
        <f>E22+E26</f>
        <v/>
      </c>
      <c r="F30" s="110">
        <f>F22+F26</f>
        <v/>
      </c>
      <c r="G30" s="110">
        <f>G22+G26</f>
        <v/>
      </c>
      <c r="H30" s="110">
        <f>H22+H26</f>
        <v/>
      </c>
    </row>
    <row r="31" ht="15" customHeight="1" s="75">
      <c r="B31" s="111" t="inlineStr">
        <is>
          <t xml:space="preserve">  EBITDA Margin %</t>
        </is>
      </c>
      <c r="C31" s="113">
        <f>C30/C9</f>
        <v/>
      </c>
      <c r="D31" s="113">
        <f>D30/D9</f>
        <v/>
      </c>
      <c r="E31" s="113">
        <f>E30/E9</f>
        <v/>
      </c>
      <c r="F31" s="113">
        <f>F30/F9</f>
        <v/>
      </c>
      <c r="G31" s="113">
        <f>G30/G9</f>
        <v/>
      </c>
      <c r="H31" s="113">
        <f>H30/H9</f>
        <v/>
      </c>
    </row>
    <row r="32"/>
    <row r="33" ht="15" customHeight="1" s="75">
      <c r="B33" s="116" t="inlineStr">
        <is>
          <t>Pre-Tax Income (EBT)</t>
        </is>
      </c>
      <c r="C33" s="117">
        <f>C22+C27+C28</f>
        <v/>
      </c>
      <c r="D33" s="117">
        <f>D22+D27+D28</f>
        <v/>
      </c>
      <c r="E33" s="117">
        <f>E22+E27+E28</f>
        <v/>
      </c>
      <c r="F33" s="117">
        <f>F22+F27+F28</f>
        <v/>
      </c>
      <c r="G33" s="117">
        <f>G22+G27+G28</f>
        <v/>
      </c>
      <c r="H33" s="117">
        <f>H22+H27+H28</f>
        <v/>
      </c>
    </row>
    <row r="34" ht="15" customHeight="1" s="75">
      <c r="B34" s="91" t="inlineStr">
        <is>
          <t>Income Tax Expense</t>
        </is>
      </c>
      <c r="C34" s="114">
        <f>C33*Assumptions!C22</f>
        <v/>
      </c>
      <c r="D34" s="114">
        <f>D33*Assumptions!D22</f>
        <v/>
      </c>
      <c r="E34" s="114">
        <f>E33*Assumptions!E22</f>
        <v/>
      </c>
      <c r="F34" s="114">
        <f>F33*Assumptions!F22</f>
        <v/>
      </c>
      <c r="G34" s="114">
        <f>G33*Assumptions!G22</f>
        <v/>
      </c>
      <c r="H34" s="114">
        <f>H33*Assumptions!H22</f>
        <v/>
      </c>
    </row>
    <row r="35" ht="15" customHeight="1" s="75">
      <c r="B35" s="120" t="inlineStr">
        <is>
          <t>Net Income</t>
        </is>
      </c>
      <c r="C35" s="121">
        <f>C33-C34</f>
        <v/>
      </c>
      <c r="D35" s="121">
        <f>D33-D34</f>
        <v/>
      </c>
      <c r="E35" s="121">
        <f>E33-E34</f>
        <v/>
      </c>
      <c r="F35" s="121">
        <f>F33-F34</f>
        <v/>
      </c>
      <c r="G35" s="121">
        <f>G33-G34</f>
        <v/>
      </c>
      <c r="H35" s="121">
        <f>H33-H34</f>
        <v/>
      </c>
    </row>
    <row r="36" ht="15" customHeight="1" s="75">
      <c r="B36" s="111" t="inlineStr">
        <is>
          <t xml:space="preserve">  Net Margin %</t>
        </is>
      </c>
      <c r="C36" s="113">
        <f>C35/C9</f>
        <v/>
      </c>
      <c r="D36" s="113">
        <f>D35/D9</f>
        <v/>
      </c>
      <c r="E36" s="113">
        <f>E35/E9</f>
        <v/>
      </c>
      <c r="F36" s="113">
        <f>F35/F9</f>
        <v/>
      </c>
      <c r="G36" s="113">
        <f>G35/G9</f>
        <v/>
      </c>
      <c r="H36" s="113">
        <f>H35/H9</f>
        <v/>
      </c>
    </row>
    <row r="37"/>
    <row r="38" ht="15.75" customHeight="1" s="75">
      <c r="B38" s="89" t="inlineStr">
        <is>
          <t>PER SHARE DATA</t>
        </is>
      </c>
    </row>
    <row r="39" ht="15" customHeight="1" s="75">
      <c r="B39" s="90" t="inlineStr">
        <is>
          <t>Assumption</t>
        </is>
      </c>
      <c r="C39" s="81" t="inlineStr">
        <is>
          <t>FY2022A</t>
        </is>
      </c>
      <c r="D39" s="81" t="inlineStr">
        <is>
          <t>FY2023A</t>
        </is>
      </c>
      <c r="E39" s="81" t="inlineStr">
        <is>
          <t>FY2024A</t>
        </is>
      </c>
      <c r="F39" s="81" t="inlineStr">
        <is>
          <t>FY2025E</t>
        </is>
      </c>
      <c r="G39" s="81" t="inlineStr">
        <is>
          <t>FY2026E</t>
        </is>
      </c>
      <c r="H39" s="81" t="inlineStr">
        <is>
          <t>FY2027E</t>
        </is>
      </c>
    </row>
    <row r="40" ht="15" customHeight="1" s="75">
      <c r="B40" s="87" t="inlineStr">
        <is>
          <t>Diluted Shares Outstanding (mm)</t>
        </is>
      </c>
      <c r="C40" s="122" t="n">
        <v>14.8</v>
      </c>
      <c r="D40" s="122" t="n">
        <v>14.9</v>
      </c>
      <c r="E40" s="122" t="n">
        <v>15</v>
      </c>
      <c r="F40" s="122" t="n">
        <v>15.2</v>
      </c>
      <c r="G40" s="122" t="n">
        <v>15.5</v>
      </c>
      <c r="H40" s="122" t="n">
        <v>15.7</v>
      </c>
    </row>
    <row r="41" ht="15" customHeight="1" s="75">
      <c r="B41" s="116" t="inlineStr">
        <is>
          <t>Diluted EPS</t>
        </is>
      </c>
      <c r="C41" s="123">
        <f>C35/C40</f>
        <v/>
      </c>
      <c r="D41" s="123">
        <f>D35/D40</f>
        <v/>
      </c>
      <c r="E41" s="123">
        <f>E35/E40</f>
        <v/>
      </c>
      <c r="F41" s="123">
        <f>F35/F40</f>
        <v/>
      </c>
      <c r="G41" s="123">
        <f>G35/G40</f>
        <v/>
      </c>
      <c r="H41" s="123">
        <f>H35/H40</f>
        <v/>
      </c>
    </row>
  </sheetData>
  <mergeCells count="7">
    <mergeCell ref="B17:H17"/>
    <mergeCell ref="B1:H1"/>
    <mergeCell ref="B4:H4"/>
    <mergeCell ref="B12:H12"/>
    <mergeCell ref="B38:H38"/>
    <mergeCell ref="B2:H2"/>
    <mergeCell ref="B25:H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4" min="1" max="1"/>
    <col width="38" customWidth="1" style="74" min="2" max="2"/>
    <col width="12" customWidth="1" style="74" min="3" max="8"/>
  </cols>
  <sheetData>
    <row r="1" ht="21.75" customHeight="1" s="75">
      <c r="B1" s="88" t="inlineStr">
        <is>
          <t>NEXUS TECHNOLOGY CORP — CASH FLOW STATEMENT</t>
        </is>
      </c>
    </row>
    <row r="2" ht="15" customHeight="1" s="75">
      <c r="B2" s="106" t="inlineStr">
        <is>
          <t>All figures in USD millions | Indirect Method</t>
        </is>
      </c>
    </row>
    <row r="3"/>
    <row r="4" ht="15.75" customHeight="1" s="75">
      <c r="B4" s="89" t="inlineStr">
        <is>
          <t>OPERATING ACTIVITIES</t>
        </is>
      </c>
    </row>
    <row r="5" ht="15" customHeight="1" s="75">
      <c r="B5" s="90" t="inlineStr">
        <is>
          <t>Assumption</t>
        </is>
      </c>
      <c r="C5" s="81" t="inlineStr">
        <is>
          <t>FY2022A</t>
        </is>
      </c>
      <c r="D5" s="81" t="inlineStr">
        <is>
          <t>FY2023A</t>
        </is>
      </c>
      <c r="E5" s="81" t="inlineStr">
        <is>
          <t>FY2024A</t>
        </is>
      </c>
      <c r="F5" s="81" t="inlineStr">
        <is>
          <t>FY2025E</t>
        </is>
      </c>
      <c r="G5" s="81" t="inlineStr">
        <is>
          <t>FY2026E</t>
        </is>
      </c>
      <c r="H5" s="81" t="inlineStr">
        <is>
          <t>FY2027E</t>
        </is>
      </c>
    </row>
    <row r="6" ht="15" customHeight="1" s="75">
      <c r="B6" s="124" t="inlineStr">
        <is>
          <t>Net Income</t>
        </is>
      </c>
      <c r="C6" s="107">
        <f>'Income Statement'!C35</f>
        <v/>
      </c>
      <c r="D6" s="107">
        <f>'Income Statement'!D35</f>
        <v/>
      </c>
      <c r="E6" s="107">
        <f>'Income Statement'!E35</f>
        <v/>
      </c>
      <c r="F6" s="107">
        <f>'Income Statement'!F35</f>
        <v/>
      </c>
      <c r="G6" s="107">
        <f>'Income Statement'!G35</f>
        <v/>
      </c>
      <c r="H6" s="107">
        <f>'Income Statement'!H35</f>
        <v/>
      </c>
    </row>
    <row r="7" ht="15" customHeight="1" s="75">
      <c r="B7" s="94" t="inlineStr">
        <is>
          <t>Depreciation &amp; Amortization</t>
        </is>
      </c>
      <c r="C7" s="108">
        <f>'Income Statement'!C26</f>
        <v/>
      </c>
      <c r="D7" s="108">
        <f>'Income Statement'!D26</f>
        <v/>
      </c>
      <c r="E7" s="108">
        <f>'Income Statement'!E26</f>
        <v/>
      </c>
      <c r="F7" s="108">
        <f>'Income Statement'!F26</f>
        <v/>
      </c>
      <c r="G7" s="108">
        <f>'Income Statement'!G26</f>
        <v/>
      </c>
      <c r="H7" s="108">
        <f>'Income Statement'!H26</f>
        <v/>
      </c>
    </row>
    <row r="8" ht="15" customHeight="1" s="75">
      <c r="B8" s="91" t="inlineStr">
        <is>
          <t>Stock-Based Compensation</t>
        </is>
      </c>
      <c r="C8" s="119" t="n">
        <v>12.4</v>
      </c>
      <c r="D8" s="119" t="n">
        <v>14.2</v>
      </c>
      <c r="E8" s="119" t="n">
        <v>16.8</v>
      </c>
      <c r="F8" s="119" t="n">
        <v>18.9</v>
      </c>
      <c r="G8" s="119" t="n">
        <v>21.4</v>
      </c>
      <c r="H8" s="119" t="n">
        <v>24.2</v>
      </c>
    </row>
    <row r="9" ht="15" customHeight="1" s="75">
      <c r="B9" s="94" t="inlineStr">
        <is>
          <t>Changes in Working Capital:</t>
        </is>
      </c>
      <c r="C9" s="125" t="n"/>
      <c r="D9" s="125" t="n"/>
      <c r="E9" s="125" t="n"/>
      <c r="F9" s="125" t="n"/>
      <c r="G9" s="125" t="n"/>
      <c r="H9" s="125" t="n"/>
    </row>
    <row r="10" ht="15" customHeight="1" s="75">
      <c r="B10" s="91" t="inlineStr">
        <is>
          <t xml:space="preserve">  (Increase) / Decrease in AR</t>
        </is>
      </c>
      <c r="C10" s="114" t="n">
        <v>-8.199999999999999</v>
      </c>
      <c r="D10" s="114" t="n">
        <v>-9.4</v>
      </c>
      <c r="E10" s="114" t="n">
        <v>-11.3</v>
      </c>
      <c r="F10" s="114" t="n">
        <v>-14.8</v>
      </c>
      <c r="G10" s="114" t="n">
        <v>-18.2</v>
      </c>
      <c r="H10" s="114" t="n">
        <v>-22.6</v>
      </c>
    </row>
    <row r="11" ht="15" customHeight="1" s="75">
      <c r="B11" s="94" t="inlineStr">
        <is>
          <t xml:space="preserve">  Increase / (Decrease) in AP</t>
        </is>
      </c>
      <c r="C11" s="115" t="n">
        <v>2.1</v>
      </c>
      <c r="D11" s="115" t="n">
        <v>2.8</v>
      </c>
      <c r="E11" s="115" t="n">
        <v>3.4</v>
      </c>
      <c r="F11" s="115" t="n">
        <v>4.2</v>
      </c>
      <c r="G11" s="115" t="n">
        <v>5.1</v>
      </c>
      <c r="H11" s="115" t="n">
        <v>6.3</v>
      </c>
    </row>
    <row r="12" ht="15" customHeight="1" s="75">
      <c r="B12" s="91" t="inlineStr">
        <is>
          <t xml:space="preserve">  Increase / (Decrease) in Deferred Rev</t>
        </is>
      </c>
      <c r="C12" s="114" t="n">
        <v>8.4</v>
      </c>
      <c r="D12" s="114" t="n">
        <v>9.800000000000001</v>
      </c>
      <c r="E12" s="114" t="n">
        <v>11.2</v>
      </c>
      <c r="F12" s="114" t="n">
        <v>14.1</v>
      </c>
      <c r="G12" s="114" t="n">
        <v>17.2</v>
      </c>
      <c r="H12" s="114" t="n">
        <v>20.8</v>
      </c>
    </row>
    <row r="13" ht="15" customHeight="1" s="75">
      <c r="B13" s="126" t="inlineStr">
        <is>
          <t>Cash from Operating Activities</t>
        </is>
      </c>
      <c r="C13" s="110">
        <f>SUM(C6:C12)</f>
        <v/>
      </c>
      <c r="D13" s="110">
        <f>SUM(D6:D12)</f>
        <v/>
      </c>
      <c r="E13" s="110">
        <f>SUM(E6:E12)</f>
        <v/>
      </c>
      <c r="F13" s="110">
        <f>SUM(F6:F12)</f>
        <v/>
      </c>
      <c r="G13" s="110">
        <f>SUM(G6:G12)</f>
        <v/>
      </c>
      <c r="H13" s="110">
        <f>SUM(H6:H12)</f>
        <v/>
      </c>
    </row>
    <row r="14"/>
    <row r="15" ht="15.75" customHeight="1" s="75">
      <c r="B15" s="89" t="inlineStr">
        <is>
          <t>INVESTING ACTIVITIES</t>
        </is>
      </c>
    </row>
    <row r="16" ht="15" customHeight="1" s="75">
      <c r="B16" s="90" t="inlineStr">
        <is>
          <t>Assumption</t>
        </is>
      </c>
      <c r="C16" s="81" t="inlineStr">
        <is>
          <t>FY2022A</t>
        </is>
      </c>
      <c r="D16" s="81" t="inlineStr">
        <is>
          <t>FY2023A</t>
        </is>
      </c>
      <c r="E16" s="81" t="inlineStr">
        <is>
          <t>FY2024A</t>
        </is>
      </c>
      <c r="F16" s="81" t="inlineStr">
        <is>
          <t>FY2025E</t>
        </is>
      </c>
      <c r="G16" s="81" t="inlineStr">
        <is>
          <t>FY2026E</t>
        </is>
      </c>
      <c r="H16" s="81" t="inlineStr">
        <is>
          <t>FY2027E</t>
        </is>
      </c>
    </row>
    <row r="17" ht="15" customHeight="1" s="75">
      <c r="B17" s="94" t="inlineStr">
        <is>
          <t>Capital Expenditures</t>
        </is>
      </c>
      <c r="C17" s="118" t="n">
        <v>-9.6</v>
      </c>
      <c r="D17" s="118" t="n">
        <v>-10.2</v>
      </c>
      <c r="E17" s="118" t="n">
        <v>-11.9</v>
      </c>
      <c r="F17" s="118" t="n">
        <v>-13.9</v>
      </c>
      <c r="G17" s="118" t="n">
        <v>-16.4</v>
      </c>
      <c r="H17" s="118" t="n">
        <v>-18.8</v>
      </c>
    </row>
    <row r="18" ht="15" customHeight="1" s="75">
      <c r="B18" s="91" t="inlineStr">
        <is>
          <t>Acquisitions &amp; Investments</t>
        </is>
      </c>
      <c r="C18" s="119" t="n">
        <v>0</v>
      </c>
      <c r="D18" s="119" t="n">
        <v>-45</v>
      </c>
      <c r="E18" s="119" t="n">
        <v>0</v>
      </c>
      <c r="F18" s="119" t="n">
        <v>0</v>
      </c>
      <c r="G18" s="119" t="n">
        <v>0</v>
      </c>
      <c r="H18" s="119" t="n">
        <v>0</v>
      </c>
    </row>
    <row r="19" ht="15" customHeight="1" s="75">
      <c r="B19" s="126" t="inlineStr">
        <is>
          <t>Cash from Investing Activities</t>
        </is>
      </c>
      <c r="C19" s="110">
        <f>SUM(C17:C18)</f>
        <v/>
      </c>
      <c r="D19" s="110">
        <f>SUM(D17:D18)</f>
        <v/>
      </c>
      <c r="E19" s="110">
        <f>SUM(E17:E18)</f>
        <v/>
      </c>
      <c r="F19" s="110">
        <f>SUM(F17:F18)</f>
        <v/>
      </c>
      <c r="G19" s="110">
        <f>SUM(G17:G18)</f>
        <v/>
      </c>
      <c r="H19" s="110">
        <f>SUM(H17:H18)</f>
        <v/>
      </c>
    </row>
    <row r="20"/>
    <row r="21" ht="15.75" customHeight="1" s="75">
      <c r="B21" s="89" t="inlineStr">
        <is>
          <t>FINANCING ACTIVITIES</t>
        </is>
      </c>
    </row>
    <row r="22" ht="15" customHeight="1" s="75">
      <c r="B22" s="90" t="inlineStr">
        <is>
          <t>Assumption</t>
        </is>
      </c>
      <c r="C22" s="81" t="inlineStr">
        <is>
          <t>FY2022A</t>
        </is>
      </c>
      <c r="D22" s="81" t="inlineStr">
        <is>
          <t>FY2023A</t>
        </is>
      </c>
      <c r="E22" s="81" t="inlineStr">
        <is>
          <t>FY2024A</t>
        </is>
      </c>
      <c r="F22" s="81" t="inlineStr">
        <is>
          <t>FY2025E</t>
        </is>
      </c>
      <c r="G22" s="81" t="inlineStr">
        <is>
          <t>FY2026E</t>
        </is>
      </c>
      <c r="H22" s="81" t="inlineStr">
        <is>
          <t>FY2027E</t>
        </is>
      </c>
    </row>
    <row r="23" ht="15" customHeight="1" s="75">
      <c r="B23" s="94" t="inlineStr">
        <is>
          <t>Debt Issuance / (Repayment)</t>
        </is>
      </c>
      <c r="C23" s="118" t="n">
        <v>0</v>
      </c>
      <c r="D23" s="118" t="n">
        <v>45</v>
      </c>
      <c r="E23" s="118" t="n">
        <v>-15</v>
      </c>
      <c r="F23" s="118" t="n">
        <v>-15</v>
      </c>
      <c r="G23" s="118" t="n">
        <v>-15</v>
      </c>
      <c r="H23" s="118" t="n">
        <v>0</v>
      </c>
    </row>
    <row r="24" ht="15" customHeight="1" s="75">
      <c r="B24" s="91" t="inlineStr">
        <is>
          <t>Share Repurchases</t>
        </is>
      </c>
      <c r="C24" s="119" t="n">
        <v>-8.4</v>
      </c>
      <c r="D24" s="119" t="n">
        <v>-12</v>
      </c>
      <c r="E24" s="119" t="n">
        <v>-14.2</v>
      </c>
      <c r="F24" s="119" t="n">
        <v>-16.8</v>
      </c>
      <c r="G24" s="119" t="n">
        <v>-18.4</v>
      </c>
      <c r="H24" s="119" t="n">
        <v>-20</v>
      </c>
    </row>
    <row r="25" ht="15" customHeight="1" s="75">
      <c r="B25" s="126" t="inlineStr">
        <is>
          <t>Cash from Financing Activities</t>
        </is>
      </c>
      <c r="C25" s="110">
        <f>SUM(C23:C24)</f>
        <v/>
      </c>
      <c r="D25" s="110">
        <f>SUM(D23:D24)</f>
        <v/>
      </c>
      <c r="E25" s="110">
        <f>SUM(E23:E24)</f>
        <v/>
      </c>
      <c r="F25" s="110">
        <f>SUM(F23:F24)</f>
        <v/>
      </c>
      <c r="G25" s="110">
        <f>SUM(G23:G24)</f>
        <v/>
      </c>
      <c r="H25" s="110">
        <f>SUM(H23:H24)</f>
        <v/>
      </c>
    </row>
    <row r="26"/>
    <row r="27" ht="15.75" customHeight="1" s="75">
      <c r="B27" s="89" t="inlineStr">
        <is>
          <t>FREE CASH FLOW &amp; LIQUIDITY</t>
        </is>
      </c>
    </row>
    <row r="28" ht="15" customHeight="1" s="75">
      <c r="B28" s="90" t="inlineStr">
        <is>
          <t>Assumption</t>
        </is>
      </c>
      <c r="C28" s="81" t="inlineStr">
        <is>
          <t>FY2022A</t>
        </is>
      </c>
      <c r="D28" s="81" t="inlineStr">
        <is>
          <t>FY2023A</t>
        </is>
      </c>
      <c r="E28" s="81" t="inlineStr">
        <is>
          <t>FY2024A</t>
        </is>
      </c>
      <c r="F28" s="81" t="inlineStr">
        <is>
          <t>FY2025E</t>
        </is>
      </c>
      <c r="G28" s="81" t="inlineStr">
        <is>
          <t>FY2026E</t>
        </is>
      </c>
      <c r="H28" s="81" t="inlineStr">
        <is>
          <t>FY2027E</t>
        </is>
      </c>
    </row>
    <row r="29" ht="15" customHeight="1" s="75">
      <c r="B29" s="126" t="inlineStr">
        <is>
          <t>Free Cash Flow (CFO - Capex)</t>
        </is>
      </c>
      <c r="C29" s="110">
        <f>C13+C17</f>
        <v/>
      </c>
      <c r="D29" s="110">
        <f>D13+D17</f>
        <v/>
      </c>
      <c r="E29" s="110">
        <f>E13+E17</f>
        <v/>
      </c>
      <c r="F29" s="110">
        <f>F13+F17</f>
        <v/>
      </c>
      <c r="G29" s="110">
        <f>G13+G17</f>
        <v/>
      </c>
      <c r="H29" s="110">
        <f>H13+H17</f>
        <v/>
      </c>
    </row>
    <row r="30" ht="15" customHeight="1" s="75">
      <c r="B30" s="111" t="inlineStr">
        <is>
          <t xml:space="preserve">  FCF Margin %</t>
        </is>
      </c>
      <c r="C30" s="113">
        <f>C29/'Income Statement'!C9</f>
        <v/>
      </c>
      <c r="D30" s="113">
        <f>D29/'Income Statement'!D9</f>
        <v/>
      </c>
      <c r="E30" s="113">
        <f>E29/'Income Statement'!E9</f>
        <v/>
      </c>
      <c r="F30" s="113">
        <f>F29/'Income Statement'!F9</f>
        <v/>
      </c>
      <c r="G30" s="113">
        <f>G29/'Income Statement'!G9</f>
        <v/>
      </c>
      <c r="H30" s="113">
        <f>H29/'Income Statement'!H9</f>
        <v/>
      </c>
    </row>
    <row r="31"/>
    <row r="32" ht="15" customHeight="1" s="75">
      <c r="B32" s="116" t="inlineStr">
        <is>
          <t>Net Change in Cash</t>
        </is>
      </c>
      <c r="C32" s="117">
        <f>C13+C19+C25</f>
        <v/>
      </c>
      <c r="D32" s="117">
        <f>D13+D19+D25</f>
        <v/>
      </c>
      <c r="E32" s="117">
        <f>E13+E19+E25</f>
        <v/>
      </c>
      <c r="F32" s="117">
        <f>F13+F19+F25</f>
        <v/>
      </c>
      <c r="G32" s="117">
        <f>G13+G19+G25</f>
        <v/>
      </c>
      <c r="H32" s="117">
        <f>H13+H19+H25</f>
        <v/>
      </c>
    </row>
    <row r="33" ht="15" customHeight="1" s="75">
      <c r="B33" s="87" t="inlineStr">
        <is>
          <t>Beginning Cash Balance</t>
        </is>
      </c>
      <c r="C33" s="118" t="n">
        <v>62.4</v>
      </c>
      <c r="D33" s="118" t="n">
        <v>65.7</v>
      </c>
      <c r="E33" s="118" t="n">
        <v>54.8</v>
      </c>
      <c r="F33" s="118" t="n">
        <v>68.2</v>
      </c>
      <c r="G33" s="118" t="n">
        <v>82.09999999999999</v>
      </c>
      <c r="H33" s="118" t="n">
        <v>96.8</v>
      </c>
    </row>
    <row r="34" ht="15" customHeight="1" s="75">
      <c r="B34" s="120" t="inlineStr">
        <is>
          <t>Ending Cash Balance</t>
        </is>
      </c>
      <c r="C34" s="121">
        <f>C33+C32</f>
        <v/>
      </c>
      <c r="D34" s="121">
        <f>D33+D32</f>
        <v/>
      </c>
      <c r="E34" s="121">
        <f>E33+E32</f>
        <v/>
      </c>
      <c r="F34" s="121">
        <f>F33+F32</f>
        <v/>
      </c>
      <c r="G34" s="121">
        <f>G33+G32</f>
        <v/>
      </c>
      <c r="H34" s="121">
        <f>H33+H32</f>
        <v/>
      </c>
    </row>
  </sheetData>
  <mergeCells count="6">
    <mergeCell ref="B27:H27"/>
    <mergeCell ref="B1:H1"/>
    <mergeCell ref="B21:H21"/>
    <mergeCell ref="B4:H4"/>
    <mergeCell ref="B2:H2"/>
    <mergeCell ref="B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4" min="1" max="1"/>
    <col width="38" customWidth="1" style="74" min="2" max="2"/>
    <col width="12" customWidth="1" style="74" min="3" max="8"/>
  </cols>
  <sheetData>
    <row r="1" ht="21.75" customHeight="1" s="75">
      <c r="B1" s="88" t="inlineStr">
        <is>
          <t>NEXUS TECHNOLOGY CORP — BALANCE SHEET</t>
        </is>
      </c>
    </row>
    <row r="2" ht="15" customHeight="1" s="75">
      <c r="B2" s="106" t="inlineStr">
        <is>
          <t>All figures in USD millions | Fiscal Year ending December 31</t>
        </is>
      </c>
    </row>
    <row r="3"/>
    <row r="4" ht="15.75" customHeight="1" s="75">
      <c r="B4" s="89" t="inlineStr">
        <is>
          <t>ASSETS</t>
        </is>
      </c>
    </row>
    <row r="5" ht="15" customHeight="1" s="75">
      <c r="B5" s="90" t="inlineStr">
        <is>
          <t>Assumption</t>
        </is>
      </c>
      <c r="C5" s="81" t="inlineStr">
        <is>
          <t>FY2022A</t>
        </is>
      </c>
      <c r="D5" s="81" t="inlineStr">
        <is>
          <t>FY2023A</t>
        </is>
      </c>
      <c r="E5" s="81" t="inlineStr">
        <is>
          <t>FY2024A</t>
        </is>
      </c>
      <c r="F5" s="81" t="inlineStr">
        <is>
          <t>FY2025E</t>
        </is>
      </c>
      <c r="G5" s="81" t="inlineStr">
        <is>
          <t>FY2026E</t>
        </is>
      </c>
      <c r="H5" s="81" t="inlineStr">
        <is>
          <t>FY2027E</t>
        </is>
      </c>
    </row>
    <row r="6" ht="15" customHeight="1" s="75">
      <c r="B6" s="91" t="inlineStr">
        <is>
          <t>Cash &amp; Cash Equivalents</t>
        </is>
      </c>
      <c r="C6" s="107">
        <f>'Cash Flow'!C34</f>
        <v/>
      </c>
      <c r="D6" s="107">
        <f>'Cash Flow'!D34</f>
        <v/>
      </c>
      <c r="E6" s="107">
        <f>'Cash Flow'!E34</f>
        <v/>
      </c>
      <c r="F6" s="107">
        <f>'Cash Flow'!F34</f>
        <v/>
      </c>
      <c r="G6" s="107">
        <f>'Cash Flow'!G34</f>
        <v/>
      </c>
      <c r="H6" s="107">
        <f>'Cash Flow'!H34</f>
        <v/>
      </c>
    </row>
    <row r="7" ht="15" customHeight="1" s="75">
      <c r="B7" s="94" t="inlineStr">
        <is>
          <t>Accounts Receivable</t>
        </is>
      </c>
      <c r="C7" s="115" t="n">
        <v>34.2</v>
      </c>
      <c r="D7" s="115" t="n">
        <v>42.4</v>
      </c>
      <c r="E7" s="115" t="n">
        <v>52.1</v>
      </c>
      <c r="F7" s="115" t="n">
        <v>64.8</v>
      </c>
      <c r="G7" s="115" t="n">
        <v>80.40000000000001</v>
      </c>
      <c r="H7" s="115" t="n">
        <v>99.8</v>
      </c>
    </row>
    <row r="8" ht="15" customHeight="1" s="75">
      <c r="B8" s="91" t="inlineStr">
        <is>
          <t>Prepaid Expenses &amp; Other</t>
        </is>
      </c>
      <c r="C8" s="114" t="n">
        <v>8.199999999999999</v>
      </c>
      <c r="D8" s="114" t="n">
        <v>9.4</v>
      </c>
      <c r="E8" s="114" t="n">
        <v>11.2</v>
      </c>
      <c r="F8" s="114" t="n">
        <v>13.8</v>
      </c>
      <c r="G8" s="114" t="n">
        <v>17.1</v>
      </c>
      <c r="H8" s="114" t="n">
        <v>21.2</v>
      </c>
    </row>
    <row r="9" ht="15" customHeight="1" s="75">
      <c r="B9" s="109" t="inlineStr">
        <is>
          <t>Total Current Assets</t>
        </is>
      </c>
      <c r="C9" s="127">
        <f>SUM(C6:C8)</f>
        <v/>
      </c>
      <c r="D9" s="127">
        <f>SUM(D6:D8)</f>
        <v/>
      </c>
      <c r="E9" s="127">
        <f>SUM(E6:E8)</f>
        <v/>
      </c>
      <c r="F9" s="127">
        <f>SUM(F6:F8)</f>
        <v/>
      </c>
      <c r="G9" s="127">
        <f>SUM(G6:G8)</f>
        <v/>
      </c>
      <c r="H9" s="127">
        <f>SUM(H6:H8)</f>
        <v/>
      </c>
    </row>
    <row r="10"/>
    <row r="11" ht="15" customHeight="1" s="75">
      <c r="B11" s="94" t="inlineStr">
        <is>
          <t>Property, Plant &amp; Equipment (net)</t>
        </is>
      </c>
      <c r="C11" s="115" t="n">
        <v>28.4</v>
      </c>
      <c r="D11" s="115" t="n">
        <v>32.6</v>
      </c>
      <c r="E11" s="115" t="n">
        <v>36.8</v>
      </c>
      <c r="F11" s="115" t="n">
        <v>42.1</v>
      </c>
      <c r="G11" s="115" t="n">
        <v>48.6</v>
      </c>
      <c r="H11" s="115" t="n">
        <v>55.4</v>
      </c>
    </row>
    <row r="12" ht="15" customHeight="1" s="75">
      <c r="B12" s="91" t="inlineStr">
        <is>
          <t>Intangible Assets &amp; Goodwill</t>
        </is>
      </c>
      <c r="C12" s="114" t="n">
        <v>62.4</v>
      </c>
      <c r="D12" s="114" t="n">
        <v>58.1</v>
      </c>
      <c r="E12" s="114" t="n">
        <v>53.8</v>
      </c>
      <c r="F12" s="114" t="n">
        <v>49.5</v>
      </c>
      <c r="G12" s="114" t="n">
        <v>45.2</v>
      </c>
      <c r="H12" s="114" t="n">
        <v>41</v>
      </c>
    </row>
    <row r="13" ht="15" customHeight="1" s="75">
      <c r="B13" s="94" t="inlineStr">
        <is>
          <t>Other Long-Term Assets</t>
        </is>
      </c>
      <c r="C13" s="115" t="n">
        <v>12.4</v>
      </c>
      <c r="D13" s="115" t="n">
        <v>14.2</v>
      </c>
      <c r="E13" s="115" t="n">
        <v>16.8</v>
      </c>
      <c r="F13" s="115" t="n">
        <v>18.9</v>
      </c>
      <c r="G13" s="115" t="n">
        <v>21.4</v>
      </c>
      <c r="H13" s="115" t="n">
        <v>24.2</v>
      </c>
    </row>
    <row r="14" ht="15" customHeight="1" s="75">
      <c r="B14" s="109" t="inlineStr">
        <is>
          <t>Total Non-Current Assets</t>
        </is>
      </c>
      <c r="C14" s="127">
        <f>SUM(C11:C13)</f>
        <v/>
      </c>
      <c r="D14" s="127">
        <f>SUM(D11:D13)</f>
        <v/>
      </c>
      <c r="E14" s="127">
        <f>SUM(E11:E13)</f>
        <v/>
      </c>
      <c r="F14" s="127">
        <f>SUM(F11:F13)</f>
        <v/>
      </c>
      <c r="G14" s="127">
        <f>SUM(G11:G13)</f>
        <v/>
      </c>
      <c r="H14" s="127">
        <f>SUM(H11:H13)</f>
        <v/>
      </c>
    </row>
    <row r="15" ht="15" customHeight="1" s="75">
      <c r="B15" s="128" t="inlineStr">
        <is>
          <t>TOTAL ASSETS</t>
        </is>
      </c>
      <c r="C15" s="129">
        <f>C9+C14</f>
        <v/>
      </c>
      <c r="D15" s="129">
        <f>D9+D14</f>
        <v/>
      </c>
      <c r="E15" s="129">
        <f>E9+E14</f>
        <v/>
      </c>
      <c r="F15" s="129">
        <f>F9+F14</f>
        <v/>
      </c>
      <c r="G15" s="129">
        <f>G9+G14</f>
        <v/>
      </c>
      <c r="H15" s="129">
        <f>H9+H14</f>
        <v/>
      </c>
    </row>
    <row r="16"/>
    <row r="17" ht="15.75" customHeight="1" s="75">
      <c r="B17" s="89" t="inlineStr">
        <is>
          <t>LIABILITIES &amp; SHAREHOLDERS' EQUITY</t>
        </is>
      </c>
    </row>
    <row r="18" ht="15" customHeight="1" s="75">
      <c r="B18" s="90" t="inlineStr">
        <is>
          <t>Assumption</t>
        </is>
      </c>
      <c r="C18" s="81" t="inlineStr">
        <is>
          <t>FY2022A</t>
        </is>
      </c>
      <c r="D18" s="81" t="inlineStr">
        <is>
          <t>FY2023A</t>
        </is>
      </c>
      <c r="E18" s="81" t="inlineStr">
        <is>
          <t>FY2024A</t>
        </is>
      </c>
      <c r="F18" s="81" t="inlineStr">
        <is>
          <t>FY2025E</t>
        </is>
      </c>
      <c r="G18" s="81" t="inlineStr">
        <is>
          <t>FY2026E</t>
        </is>
      </c>
      <c r="H18" s="81" t="inlineStr">
        <is>
          <t>FY2027E</t>
        </is>
      </c>
    </row>
    <row r="19" ht="15" customHeight="1" s="75">
      <c r="B19" s="94" t="inlineStr">
        <is>
          <t>Accounts Payable</t>
        </is>
      </c>
      <c r="C19" s="115" t="n">
        <v>10.2</v>
      </c>
      <c r="D19" s="115" t="n">
        <v>11.8</v>
      </c>
      <c r="E19" s="115" t="n">
        <v>13.4</v>
      </c>
      <c r="F19" s="115" t="n">
        <v>16.2</v>
      </c>
      <c r="G19" s="115" t="n">
        <v>19.8</v>
      </c>
      <c r="H19" s="115" t="n">
        <v>24.1</v>
      </c>
    </row>
    <row r="20" ht="15" customHeight="1" s="75">
      <c r="B20" s="91" t="inlineStr">
        <is>
          <t>Deferred Revenue (current)</t>
        </is>
      </c>
      <c r="C20" s="114" t="n">
        <v>24.2</v>
      </c>
      <c r="D20" s="114" t="n">
        <v>28.4</v>
      </c>
      <c r="E20" s="114" t="n">
        <v>33.2</v>
      </c>
      <c r="F20" s="114" t="n">
        <v>39.8</v>
      </c>
      <c r="G20" s="114" t="n">
        <v>48.2</v>
      </c>
      <c r="H20" s="114" t="n">
        <v>58.4</v>
      </c>
    </row>
    <row r="21" ht="15" customHeight="1" s="75">
      <c r="B21" s="94" t="inlineStr">
        <is>
          <t>Accrued Liabilities</t>
        </is>
      </c>
      <c r="C21" s="115" t="n">
        <v>18.4</v>
      </c>
      <c r="D21" s="115" t="n">
        <v>21.2</v>
      </c>
      <c r="E21" s="115" t="n">
        <v>24.8</v>
      </c>
      <c r="F21" s="115" t="n">
        <v>28.9</v>
      </c>
      <c r="G21" s="115" t="n">
        <v>33.4</v>
      </c>
      <c r="H21" s="115" t="n">
        <v>38.8</v>
      </c>
    </row>
    <row r="22" ht="15" customHeight="1" s="75">
      <c r="B22" s="109" t="inlineStr">
        <is>
          <t>Total Current Liabilities</t>
        </is>
      </c>
      <c r="C22" s="127">
        <f>SUM(C19:C21)</f>
        <v/>
      </c>
      <c r="D22" s="127">
        <f>SUM(D19:D21)</f>
        <v/>
      </c>
      <c r="E22" s="127">
        <f>SUM(E19:E21)</f>
        <v/>
      </c>
      <c r="F22" s="127">
        <f>SUM(F19:F21)</f>
        <v/>
      </c>
      <c r="G22" s="127">
        <f>SUM(G19:G21)</f>
        <v/>
      </c>
      <c r="H22" s="127">
        <f>SUM(H19:H21)</f>
        <v/>
      </c>
    </row>
    <row r="23"/>
    <row r="24" ht="15" customHeight="1" s="75">
      <c r="B24" s="91" t="inlineStr">
        <is>
          <t>Long-Term Debt</t>
        </is>
      </c>
      <c r="C24" s="114" t="n">
        <v>45</v>
      </c>
      <c r="D24" s="114" t="n">
        <v>86.2</v>
      </c>
      <c r="E24" s="114" t="n">
        <v>71.2</v>
      </c>
      <c r="F24" s="114" t="n">
        <v>56.2</v>
      </c>
      <c r="G24" s="114" t="n">
        <v>41.2</v>
      </c>
      <c r="H24" s="114" t="n">
        <v>41.2</v>
      </c>
    </row>
    <row r="25" ht="15" customHeight="1" s="75">
      <c r="B25" s="94" t="inlineStr">
        <is>
          <t>Deferred Revenue (non-current)</t>
        </is>
      </c>
      <c r="C25" s="115" t="n">
        <v>8.4</v>
      </c>
      <c r="D25" s="115" t="n">
        <v>9.800000000000001</v>
      </c>
      <c r="E25" s="115" t="n">
        <v>11.2</v>
      </c>
      <c r="F25" s="115" t="n">
        <v>13.4</v>
      </c>
      <c r="G25" s="115" t="n">
        <v>16.2</v>
      </c>
      <c r="H25" s="115" t="n">
        <v>19.8</v>
      </c>
    </row>
    <row r="26" ht="15" customHeight="1" s="75">
      <c r="B26" s="91" t="inlineStr">
        <is>
          <t>Other Long-Term Liabilities</t>
        </is>
      </c>
      <c r="C26" s="114" t="n">
        <v>6.2</v>
      </c>
      <c r="D26" s="114" t="n">
        <v>7.1</v>
      </c>
      <c r="E26" s="114" t="n">
        <v>8.199999999999999</v>
      </c>
      <c r="F26" s="114" t="n">
        <v>9.4</v>
      </c>
      <c r="G26" s="114" t="n">
        <v>10.8</v>
      </c>
      <c r="H26" s="114" t="n">
        <v>12.4</v>
      </c>
    </row>
    <row r="27" ht="15" customHeight="1" s="75">
      <c r="B27" s="109" t="inlineStr">
        <is>
          <t>Total Long-Term Liabilities</t>
        </is>
      </c>
      <c r="C27" s="127">
        <f>SUM(C24:C26)</f>
        <v/>
      </c>
      <c r="D27" s="127">
        <f>SUM(D24:D26)</f>
        <v/>
      </c>
      <c r="E27" s="127">
        <f>SUM(E24:E26)</f>
        <v/>
      </c>
      <c r="F27" s="127">
        <f>SUM(F24:F26)</f>
        <v/>
      </c>
      <c r="G27" s="127">
        <f>SUM(G24:G26)</f>
        <v/>
      </c>
      <c r="H27" s="127">
        <f>SUM(H24:H26)</f>
        <v/>
      </c>
    </row>
    <row r="28" ht="15" customHeight="1" s="75">
      <c r="B28" s="128" t="inlineStr">
        <is>
          <t>TOTAL LIABILITIES</t>
        </is>
      </c>
      <c r="C28" s="129">
        <f>C22+C27</f>
        <v/>
      </c>
      <c r="D28" s="129">
        <f>D22+D27</f>
        <v/>
      </c>
      <c r="E28" s="129">
        <f>E22+E27</f>
        <v/>
      </c>
      <c r="F28" s="129">
        <f>F22+F27</f>
        <v/>
      </c>
      <c r="G28" s="129">
        <f>G22+G27</f>
        <v/>
      </c>
      <c r="H28" s="129">
        <f>H22+H27</f>
        <v/>
      </c>
    </row>
    <row r="29"/>
    <row r="30" ht="15" customHeight="1" s="75">
      <c r="B30" s="91" t="inlineStr">
        <is>
          <t>Common Stock &amp; APIC</t>
        </is>
      </c>
      <c r="C30" s="114" t="n">
        <v>128.4</v>
      </c>
      <c r="D30" s="114" t="n">
        <v>142.6</v>
      </c>
      <c r="E30" s="114" t="n">
        <v>159.4</v>
      </c>
      <c r="F30" s="114" t="n">
        <v>178.3</v>
      </c>
      <c r="G30" s="114" t="n">
        <v>199.7</v>
      </c>
      <c r="H30" s="114" t="n">
        <v>223.9</v>
      </c>
    </row>
    <row r="31" ht="15" customHeight="1" s="75">
      <c r="B31" s="94" t="inlineStr">
        <is>
          <t>Retained Earnings</t>
        </is>
      </c>
      <c r="C31" s="115" t="n">
        <v>24.2</v>
      </c>
      <c r="D31" s="115" t="n">
        <v>36.8</v>
      </c>
      <c r="E31" s="115" t="n">
        <v>56.2</v>
      </c>
      <c r="F31" s="115" t="n">
        <v>98.40000000000001</v>
      </c>
      <c r="G31" s="115" t="n">
        <v>158.2</v>
      </c>
      <c r="H31" s="115" t="n">
        <v>236.8</v>
      </c>
    </row>
    <row r="32" ht="15" customHeight="1" s="75">
      <c r="B32" s="91" t="inlineStr">
        <is>
          <t>Treasury Stock</t>
        </is>
      </c>
      <c r="C32" s="114" t="n">
        <v>-28.4</v>
      </c>
      <c r="D32" s="114" t="n">
        <v>-40.4</v>
      </c>
      <c r="E32" s="114" t="n">
        <v>-54.6</v>
      </c>
      <c r="F32" s="114" t="n">
        <v>-71.40000000000001</v>
      </c>
      <c r="G32" s="114" t="n">
        <v>-89.8</v>
      </c>
      <c r="H32" s="114" t="n">
        <v>-109.8</v>
      </c>
    </row>
    <row r="33" ht="15" customHeight="1" s="75">
      <c r="B33" s="109" t="inlineStr">
        <is>
          <t>Total Shareholders' Equity</t>
        </is>
      </c>
      <c r="C33" s="127">
        <f>SUM(C30:C32)</f>
        <v/>
      </c>
      <c r="D33" s="127">
        <f>SUM(D30:D32)</f>
        <v/>
      </c>
      <c r="E33" s="127">
        <f>SUM(E30:E32)</f>
        <v/>
      </c>
      <c r="F33" s="127">
        <f>SUM(F30:F32)</f>
        <v/>
      </c>
      <c r="G33" s="127">
        <f>SUM(G30:G32)</f>
        <v/>
      </c>
      <c r="H33" s="127">
        <f>SUM(H30:H32)</f>
        <v/>
      </c>
    </row>
    <row r="34" ht="15" customHeight="1" s="75">
      <c r="B34" s="128" t="inlineStr">
        <is>
          <t>TOTAL LIABILITIES &amp; EQUITY</t>
        </is>
      </c>
      <c r="C34" s="129">
        <f>C28+C33</f>
        <v/>
      </c>
      <c r="D34" s="129">
        <f>D28+D33</f>
        <v/>
      </c>
      <c r="E34" s="129">
        <f>E28+E33</f>
        <v/>
      </c>
      <c r="F34" s="129">
        <f>F28+F33</f>
        <v/>
      </c>
      <c r="G34" s="129">
        <f>G28+G33</f>
        <v/>
      </c>
      <c r="H34" s="129">
        <f>H28+H33</f>
        <v/>
      </c>
    </row>
    <row r="35"/>
    <row r="36" ht="15" customHeight="1" s="75">
      <c r="B36" s="86" t="inlineStr">
        <is>
          <t>Balance Check (Assets = Liabilities + Equity)</t>
        </is>
      </c>
      <c r="F36" s="130">
        <f>IF(ABS(H15-H34)&lt;0.1,"BALANCED","CHECK")</f>
        <v/>
      </c>
    </row>
  </sheetData>
  <mergeCells count="5">
    <mergeCell ref="B17:H17"/>
    <mergeCell ref="B1:H1"/>
    <mergeCell ref="B4:H4"/>
    <mergeCell ref="B2:H2"/>
    <mergeCell ref="B36:E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4" min="1" max="1"/>
    <col width="25" customWidth="1" style="74" min="2" max="2"/>
    <col width="14" customWidth="1" style="74" min="3" max="9"/>
  </cols>
  <sheetData>
    <row r="1" ht="15.75" customHeight="1" s="75">
      <c r="B1" s="88" t="inlineStr">
        <is>
          <t>SENSITIVITY ANALYSIS — FY2027E SCENARIOS</t>
        </is>
      </c>
    </row>
    <row r="2" ht="15" customHeight="1" s="75">
      <c r="B2" s="106" t="inlineStr">
        <is>
          <t>Two-variable sensitivity: Revenue Growth Rate vs. EBITDA Margin | FY2027E EBITDA ($mm)</t>
        </is>
      </c>
    </row>
    <row r="3"/>
    <row r="4" ht="15.75" customHeight="1" s="75">
      <c r="B4" s="89" t="inlineStr">
        <is>
          <t>EBITDA SENSITIVITY: REVENUE GROWTH vs. EBITDA MARGIN (FY2027E, $mm)</t>
        </is>
      </c>
    </row>
    <row r="5" ht="15" customHeight="1" s="75">
      <c r="B5" s="81" t="inlineStr">
        <is>
          <t>Rev Growth \ EBITDA Margin</t>
        </is>
      </c>
      <c r="C5" s="131" t="n">
        <v>0.22</v>
      </c>
      <c r="D5" s="131" t="n">
        <v>0.24</v>
      </c>
      <c r="E5" s="131" t="n">
        <v>0.26</v>
      </c>
      <c r="F5" s="131" t="n">
        <v>0.28</v>
      </c>
      <c r="G5" s="131" t="n">
        <v>0.3</v>
      </c>
      <c r="H5" s="131" t="n">
        <v>0.32</v>
      </c>
    </row>
    <row r="6" ht="15" customHeight="1" s="75">
      <c r="B6" s="131" t="n">
        <v>0.15</v>
      </c>
      <c r="C6" s="132" t="n">
        <v>121.7</v>
      </c>
      <c r="D6" s="133" t="n">
        <v>132.8</v>
      </c>
      <c r="E6" s="133" t="n">
        <v>143.8</v>
      </c>
      <c r="F6" s="133" t="n">
        <v>154.9</v>
      </c>
      <c r="G6" s="134" t="n">
        <v>165.9</v>
      </c>
      <c r="H6" s="134" t="n">
        <v>177</v>
      </c>
    </row>
    <row r="7" ht="15" customHeight="1" s="75">
      <c r="B7" s="131" t="n">
        <v>0.18</v>
      </c>
      <c r="C7" s="132" t="n">
        <v>124.9</v>
      </c>
      <c r="D7" s="133" t="n">
        <v>136.2</v>
      </c>
      <c r="E7" s="133" t="n">
        <v>147.6</v>
      </c>
      <c r="F7" s="133" t="n">
        <v>158.9</v>
      </c>
      <c r="G7" s="134" t="n">
        <v>170.3</v>
      </c>
      <c r="H7" s="134" t="n">
        <v>181.6</v>
      </c>
    </row>
    <row r="8" ht="15" customHeight="1" s="75">
      <c r="B8" s="131" t="n">
        <v>0.21</v>
      </c>
      <c r="C8" s="132" t="n">
        <v>128</v>
      </c>
      <c r="D8" s="133" t="n">
        <v>139.7</v>
      </c>
      <c r="E8" s="133" t="n">
        <v>151.3</v>
      </c>
      <c r="F8" s="134" t="n">
        <v>163</v>
      </c>
      <c r="G8" s="134" t="n">
        <v>174.6</v>
      </c>
      <c r="H8" s="134" t="n">
        <v>186.2</v>
      </c>
    </row>
    <row r="9" ht="15" customHeight="1" s="75">
      <c r="B9" s="131" t="n">
        <v>0.24</v>
      </c>
      <c r="C9" s="133" t="n">
        <v>131.2</v>
      </c>
      <c r="D9" s="133" t="n">
        <v>143.1</v>
      </c>
      <c r="E9" s="133" t="n">
        <v>155.1</v>
      </c>
      <c r="F9" s="134" t="n">
        <v>167</v>
      </c>
      <c r="G9" s="134" t="n">
        <v>178.9</v>
      </c>
      <c r="H9" s="134" t="n">
        <v>190.9</v>
      </c>
    </row>
    <row r="10" ht="15" customHeight="1" s="75">
      <c r="B10" s="131" t="n">
        <v>0.27</v>
      </c>
      <c r="C10" s="133" t="n">
        <v>134.4</v>
      </c>
      <c r="D10" s="133" t="n">
        <v>146.6</v>
      </c>
      <c r="E10" s="133" t="n">
        <v>158.8</v>
      </c>
      <c r="F10" s="134" t="n">
        <v>171</v>
      </c>
      <c r="G10" s="134" t="n">
        <v>183.3</v>
      </c>
      <c r="H10" s="134" t="n">
        <v>195.5</v>
      </c>
    </row>
    <row r="11" ht="15" customHeight="1" s="75">
      <c r="B11" s="131" t="n">
        <v>0.3</v>
      </c>
      <c r="C11" s="133" t="n">
        <v>137.6</v>
      </c>
      <c r="D11" s="133" t="n">
        <v>150.1</v>
      </c>
      <c r="E11" s="134" t="n">
        <v>162.6</v>
      </c>
      <c r="F11" s="134" t="n">
        <v>175.1</v>
      </c>
      <c r="G11" s="134" t="n">
        <v>187.6</v>
      </c>
      <c r="H11" s="134" t="n">
        <v>200.1</v>
      </c>
    </row>
    <row r="12"/>
    <row r="13"/>
    <row r="14" ht="15" customHeight="1" s="75">
      <c r="B14" s="86" t="inlineStr">
        <is>
          <t>Color Legend:</t>
        </is>
      </c>
      <c r="C14" s="135" t="inlineStr">
        <is>
          <t>&gt; $160mm (Bull Case)</t>
        </is>
      </c>
      <c r="D14" s="136" t="inlineStr">
        <is>
          <t>$130-160mm (Base+)</t>
        </is>
      </c>
      <c r="E14" s="137" t="inlineStr">
        <is>
          <t>$100-130mm (Base)</t>
        </is>
      </c>
      <c r="F14" s="138" t="inlineStr">
        <is>
          <t>$80-100mm (Bear+)</t>
        </is>
      </c>
      <c r="G14" s="139" t="inlineStr">
        <is>
          <t>&lt; $80mm (Bear)</t>
        </is>
      </c>
    </row>
    <row r="15"/>
    <row r="16" ht="15.75" customHeight="1" s="75">
      <c r="B16" s="89" t="inlineStr">
        <is>
          <t>SCENARIO ANALYSIS — KEY METRICS BRIDGE</t>
        </is>
      </c>
    </row>
    <row r="17" ht="15" customHeight="1" s="75">
      <c r="B17" s="81" t="inlineStr">
        <is>
          <t>Metric</t>
        </is>
      </c>
      <c r="C17" s="81" t="inlineStr">
        <is>
          <t>Bear Case</t>
        </is>
      </c>
      <c r="D17" s="81" t="inlineStr">
        <is>
          <t>Base Case</t>
        </is>
      </c>
      <c r="E17" s="81" t="inlineStr">
        <is>
          <t>Bull Case</t>
        </is>
      </c>
    </row>
    <row r="18" ht="15" customHeight="1" s="75">
      <c r="B18" s="91" t="inlineStr">
        <is>
          <t>Revenue Growth (CAGR)</t>
        </is>
      </c>
      <c r="C18" s="140" t="inlineStr">
        <is>
          <t>18.0%</t>
        </is>
      </c>
      <c r="D18" s="141" t="inlineStr">
        <is>
          <t>24.2%</t>
        </is>
      </c>
      <c r="E18" s="142" t="inlineStr">
        <is>
          <t>30.0%</t>
        </is>
      </c>
    </row>
    <row r="19" ht="15" customHeight="1" s="75">
      <c r="B19" s="94" t="inlineStr">
        <is>
          <t>Gross Margin</t>
        </is>
      </c>
      <c r="C19" s="143" t="inlineStr">
        <is>
          <t>66.0%</t>
        </is>
      </c>
      <c r="D19" s="144" t="inlineStr">
        <is>
          <t>71.8%</t>
        </is>
      </c>
      <c r="E19" s="145" t="inlineStr">
        <is>
          <t>76.0%</t>
        </is>
      </c>
    </row>
    <row r="20" ht="15" customHeight="1" s="75">
      <c r="B20" s="91" t="inlineStr">
        <is>
          <t>EBITDA Margin</t>
        </is>
      </c>
      <c r="C20" s="140" t="inlineStr">
        <is>
          <t>20.0%</t>
        </is>
      </c>
      <c r="D20" s="141" t="inlineStr">
        <is>
          <t>27.0%</t>
        </is>
      </c>
      <c r="E20" s="142" t="inlineStr">
        <is>
          <t>33.0%</t>
        </is>
      </c>
    </row>
    <row r="21" ht="15" customHeight="1" s="75">
      <c r="B21" s="94" t="inlineStr">
        <is>
          <t>FY2027E Revenue ($mm)</t>
        </is>
      </c>
      <c r="C21" s="143" t="inlineStr">
        <is>
          <t>$392</t>
        </is>
      </c>
      <c r="D21" s="144" t="inlineStr">
        <is>
          <t>$481</t>
        </is>
      </c>
      <c r="E21" s="145" t="inlineStr">
        <is>
          <t>$573</t>
        </is>
      </c>
    </row>
    <row r="22" ht="15" customHeight="1" s="75">
      <c r="B22" s="91" t="inlineStr">
        <is>
          <t>FY2027E EBITDA ($mm)</t>
        </is>
      </c>
      <c r="C22" s="140" t="inlineStr">
        <is>
          <t>$78</t>
        </is>
      </c>
      <c r="D22" s="141" t="inlineStr">
        <is>
          <t>$130</t>
        </is>
      </c>
      <c r="E22" s="142" t="inlineStr">
        <is>
          <t>$189</t>
        </is>
      </c>
    </row>
    <row r="23" ht="15" customHeight="1" s="75">
      <c r="B23" s="94" t="inlineStr">
        <is>
          <t>EV/EBITDA Multiple</t>
        </is>
      </c>
      <c r="C23" s="143" t="inlineStr">
        <is>
          <t>18.0x</t>
        </is>
      </c>
      <c r="D23" s="144" t="inlineStr">
        <is>
          <t>24.0x</t>
        </is>
      </c>
      <c r="E23" s="145" t="inlineStr">
        <is>
          <t>30.0x</t>
        </is>
      </c>
    </row>
    <row r="24" ht="15" customHeight="1" s="75">
      <c r="B24" s="91" t="inlineStr">
        <is>
          <t>Implied Enterprise Value ($mm)</t>
        </is>
      </c>
      <c r="C24" s="140" t="inlineStr">
        <is>
          <t>$1,410</t>
        </is>
      </c>
      <c r="D24" s="141" t="inlineStr">
        <is>
          <t>$3,114</t>
        </is>
      </c>
      <c r="E24" s="142" t="inlineStr">
        <is>
          <t>$5,677</t>
        </is>
      </c>
    </row>
    <row r="25" ht="15" customHeight="1" s="75">
      <c r="B25" s="94" t="inlineStr">
        <is>
          <t>Implied Share Price</t>
        </is>
      </c>
      <c r="C25" s="143" t="inlineStr">
        <is>
          <t>$82</t>
        </is>
      </c>
      <c r="D25" s="144" t="inlineStr">
        <is>
          <t>$189</t>
        </is>
      </c>
      <c r="E25" s="145" t="inlineStr">
        <is>
          <t>$348</t>
        </is>
      </c>
    </row>
  </sheetData>
  <mergeCells count="4">
    <mergeCell ref="B4:H4"/>
    <mergeCell ref="B1:I1"/>
    <mergeCell ref="B16:H16"/>
    <mergeCell ref="B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2026-03-17T00:05:17Z</dcterms:created>
  <dcterms:modified xmlns:dcterms="http://purl.org/dc/terms/" xmlns:xsi="http://www.w3.org/2001/XMLSchema-instance" xsi:type="dcterms:W3CDTF">2026-03-25T21:54:07Z</dcterms:modified>
  <cp:revision>0</cp:revision>
</cp:coreProperties>
</file>